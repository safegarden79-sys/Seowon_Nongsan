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계산기" sheetId="1" state="visible" r:id="rId1"/>
    <sheet xmlns:r="http://schemas.openxmlformats.org/officeDocument/2006/relationships" name="그래프" sheetId="2" state="visible" r:id="rId2"/>
    <sheet xmlns:r="http://schemas.openxmlformats.org/officeDocument/2006/relationships" name="품목요약" sheetId="3" state="visible" r:id="rId3"/>
    <sheet xmlns:r="http://schemas.openxmlformats.org/officeDocument/2006/relationships" name="추이" sheetId="4" state="visible" r:id="rId4"/>
    <sheet xmlns:r="http://schemas.openxmlformats.org/officeDocument/2006/relationships" name="설정" sheetId="5" state="visible" r:id="rId5"/>
    <sheet xmlns:r="http://schemas.openxmlformats.org/officeDocument/2006/relationships" name="일별데이터" sheetId="6" state="visible" r:id="rId6"/>
    <sheet xmlns:r="http://schemas.openxmlformats.org/officeDocument/2006/relationships" name="낙찰원장" sheetId="7" state="visible" r:id="rId7"/>
    <sheet xmlns:r="http://schemas.openxmlformats.org/officeDocument/2006/relationships" name="품목DB" sheetId="8" state="visible" r:id="rId8"/>
  </sheets>
  <definedNames>
    <definedName name="품목목록">OFFSET('품목요약'!$A$2,0,0,MAX(1,COUNTA('품목요약'!$A:$A)-1),1)</definedName>
    <definedName name="_xlnm._FilterDatabase" localSheetId="5" hidden="1">'일별데이터'!$A$1:$R$1</definedName>
    <definedName name="_xlnm._FilterDatabase" localSheetId="6" hidden="1">'낙찰원장'!$A$1:$L$1</definedName>
    <definedName name="_xlnm._FilterDatabase" localSheetId="7" hidden="1">'품목DB'!$A$1:$M$1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;[Red]-#,##0"/>
    <numFmt numFmtId="165" formatCode="0.0#"/>
    <numFmt numFmtId="166" formatCode="yyyy-mm-dd"/>
    <numFmt numFmtId="167" formatCode="0.0%;[Red]-0.0%"/>
  </numFmts>
  <fonts count="6">
    <font>
      <name val="Calibri"/>
      <family val="2"/>
      <color theme="1"/>
      <sz val="11"/>
      <scheme val="minor"/>
    </font>
    <font>
      <b val="1"/>
      <color rgb="002F7A34"/>
      <sz val="15"/>
    </font>
    <font>
      <b val="1"/>
    </font>
    <font>
      <i val="1"/>
      <color rgb="007A857D"/>
    </font>
    <font>
      <color rgb="007A857D"/>
    </font>
    <font>
      <b val="1"/>
      <color rgb="002F7A34"/>
      <sz val="12"/>
    </font>
  </fonts>
  <fills count="6">
    <fill>
      <patternFill/>
    </fill>
    <fill>
      <patternFill patternType="gray125"/>
    </fill>
    <fill>
      <patternFill patternType="solid">
        <fgColor rgb="00E2F1D6"/>
      </patternFill>
    </fill>
    <fill>
      <patternFill patternType="solid">
        <fgColor rgb="00FFF4C2"/>
      </patternFill>
    </fill>
    <fill>
      <patternFill patternType="solid">
        <fgColor rgb="00F2F8EC"/>
      </patternFill>
    </fill>
    <fill>
      <patternFill patternType="solid">
        <fgColor rgb="00FFE0C2"/>
      </patternFill>
    </fill>
  </fills>
  <borders count="2">
    <border>
      <left/>
      <right/>
      <top/>
      <bottom/>
      <diagonal/>
    </border>
    <border>
      <left style="thin">
        <color rgb="00DDE7D7"/>
      </left>
      <right style="thin">
        <color rgb="00DDE7D7"/>
      </right>
      <top style="thin">
        <color rgb="00DDE7D7"/>
      </top>
      <bottom style="thin">
        <color rgb="00DDE7D7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0" fillId="3" borderId="1" pivotButton="0" quotePrefix="0" xfId="0"/>
    <xf numFmtId="0" fontId="4" fillId="0" borderId="0" pivotButton="0" quotePrefix="0" xfId="0"/>
    <xf numFmtId="164" fontId="4" fillId="0" borderId="0" pivotButton="0" quotePrefix="0" xfId="0"/>
    <xf numFmtId="164" fontId="0" fillId="3" borderId="1" pivotButton="0" quotePrefix="0" xfId="0"/>
    <xf numFmtId="3" fontId="0" fillId="3" borderId="1" pivotButton="0" quotePrefix="0" xfId="0"/>
    <xf numFmtId="0" fontId="5" fillId="0" borderId="0" pivotButton="0" quotePrefix="0" xfId="0"/>
    <xf numFmtId="165" fontId="0" fillId="4" borderId="1" pivotButton="0" quotePrefix="0" xfId="0"/>
    <xf numFmtId="166" fontId="0" fillId="4" borderId="1" pivotButton="0" quotePrefix="0" xfId="0"/>
    <xf numFmtId="164" fontId="0" fillId="4" borderId="1" pivotButton="0" quotePrefix="0" xfId="0"/>
    <xf numFmtId="167" fontId="0" fillId="4" borderId="1" pivotButton="0" quotePrefix="0" xfId="0"/>
    <xf numFmtId="164" fontId="2" fillId="4" borderId="1" pivotButton="0" quotePrefix="0" xfId="0"/>
    <xf numFmtId="0" fontId="0" fillId="4" borderId="1" pivotButton="0" quotePrefix="0" xfId="0"/>
    <xf numFmtId="164" fontId="2" fillId="5" borderId="1" pivotButton="0" quotePrefix="0" xfId="0"/>
    <xf numFmtId="0" fontId="2" fillId="2" borderId="1" pivotButton="0" quotePrefix="0" xfId="0"/>
    <xf numFmtId="164" fontId="0" fillId="0" borderId="1" pivotButton="0" quotePrefix="0" xfId="0"/>
    <xf numFmtId="167" fontId="0" fillId="0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3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선택 품목: 서원 낙찰 단가 vs 가락·전국 시세 (박스당)</a:t>
            </a:r>
          </a:p>
        </rich>
      </tx>
    </title>
    <plotArea>
      <lineChart>
        <grouping val="standard"/>
        <ser>
          <idx val="0"/>
          <order val="0"/>
          <tx>
            <strRef>
              <f>'추이'!B2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ize val="4"/>
            <spPr>
              <a:ln xmlns:a="http://schemas.openxmlformats.org/drawingml/2006/main">
                <a:prstDash val="solid"/>
              </a:ln>
            </spPr>
          </marker>
          <cat>
            <numRef>
              <f>'추이'!$A$3:$A$42</f>
            </numRef>
          </cat>
          <val>
            <numRef>
              <f>'추이'!$B$3:$B$42</f>
            </numRef>
          </val>
          <smooth val="0"/>
        </ser>
        <ser>
          <idx val="1"/>
          <order val="1"/>
          <tx>
            <strRef>
              <f>'추이'!C2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ize val="4"/>
            <spPr>
              <a:ln xmlns:a="http://schemas.openxmlformats.org/drawingml/2006/main">
                <a:prstDash val="solid"/>
              </a:ln>
            </spPr>
          </marker>
          <cat>
            <numRef>
              <f>'추이'!$A$3:$A$42</f>
            </numRef>
          </cat>
          <val>
            <numRef>
              <f>'추이'!$C$3:$C$42</f>
            </numRef>
          </val>
          <smooth val="0"/>
        </ser>
        <ser>
          <idx val="2"/>
          <order val="2"/>
          <tx>
            <strRef>
              <f>'추이'!D2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ize val="4"/>
            <spPr>
              <a:ln xmlns:a="http://schemas.openxmlformats.org/drawingml/2006/main">
                <a:prstDash val="solid"/>
              </a:ln>
            </spPr>
          </marker>
          <cat>
            <numRef>
              <f>'추이'!$A$3:$A$42</f>
            </numRef>
          </cat>
          <val>
            <numRef>
              <f>'추이'!$D$3:$D$42</f>
            </numRef>
          </val>
          <smooth val="0"/>
        </ser>
        <ser>
          <idx val="3"/>
          <order val="3"/>
          <tx>
            <strRef>
              <f>'추이'!E2</f>
            </strRef>
          </tx>
          <spPr>
            <a:ln xmlns:a="http://schemas.openxmlformats.org/drawingml/2006/main">
              <a:prstDash val="solid"/>
            </a:ln>
          </spPr>
          <marker>
            <symbol val="circle"/>
            <size val="4"/>
            <spPr>
              <a:ln xmlns:a="http://schemas.openxmlformats.org/drawingml/2006/main">
                <a:prstDash val="solid"/>
              </a:ln>
            </spPr>
          </marker>
          <cat>
            <numRef>
              <f>'추이'!$A$3:$A$42</f>
            </numRef>
          </cat>
          <val>
            <numRef>
              <f>'추이'!$E$3:$E$42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mm/dd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원/박스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선택 품목: 가락 평균보다 싸게 산 금액 (박스당, + 이면 싸게 산 날)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'추이'!F2</f>
            </strRef>
          </tx>
          <spPr>
            <a:ln xmlns:a="http://schemas.openxmlformats.org/drawingml/2006/main">
              <a:prstDash val="solid"/>
            </a:ln>
          </spPr>
          <cat>
            <numRef>
              <f>'추이'!$A$3:$A$42</f>
            </numRef>
          </cat>
          <val>
            <numRef>
              <f>'추이'!$F$3:$F$42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numFmt formatCode="mm/dd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가격별 마진 (선택 품목·채널) — 0 위로 올라가는 지점이 손익분기</a:t>
            </a:r>
          </a:p>
        </rich>
      </tx>
    </title>
    <plotArea>
      <lineChart>
        <grouping val="standard"/>
        <ser>
          <idx val="0"/>
          <order val="0"/>
          <tx>
            <strRef>
              <f>'계산기'!C40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'계산기'!$B$41:$B$61</f>
            </numRef>
          </cat>
          <val>
            <numRef>
              <f>'계산기'!$C$41:$C$61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#,##0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품목별 최대 마진 (박스당) — 채널 1~3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'품목요약'!U1</f>
            </strRef>
          </tx>
          <spPr>
            <a:ln xmlns:a="http://schemas.openxmlformats.org/drawingml/2006/main">
              <a:prstDash val="solid"/>
            </a:ln>
          </spPr>
          <cat>
            <numRef>
              <f>'품목요약'!$A$2:$A$81</f>
            </numRef>
          </cat>
          <val>
            <numRef>
              <f>'품목요약'!$U$2:$U$81</f>
            </numRef>
          </val>
        </ser>
        <ser>
          <idx val="1"/>
          <order val="1"/>
          <tx>
            <strRef>
              <f>'품목요약'!X1</f>
            </strRef>
          </tx>
          <spPr>
            <a:ln xmlns:a="http://schemas.openxmlformats.org/drawingml/2006/main">
              <a:prstDash val="solid"/>
            </a:ln>
          </spPr>
          <cat>
            <numRef>
              <f>'품목요약'!$A$2:$A$81</f>
            </numRef>
          </cat>
          <val>
            <numRef>
              <f>'품목요약'!$X$2:$X$81</f>
            </numRef>
          </val>
        </ser>
        <ser>
          <idx val="2"/>
          <order val="2"/>
          <tx>
            <strRef>
              <f>'품목요약'!AA1</f>
            </strRef>
          </tx>
          <spPr>
            <a:ln xmlns:a="http://schemas.openxmlformats.org/drawingml/2006/main">
              <a:prstDash val="solid"/>
            </a:ln>
          </spPr>
          <cat>
            <numRef>
              <f>'품목요약'!$A$2:$A$81</f>
            </numRef>
          </cat>
          <val>
            <numRef>
              <f>'품목요약'!$AA$2:$AA$81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품목별 서원 7일 평균 단가 vs 가락 박스 환산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'품목요약'!G1</f>
            </strRef>
          </tx>
          <spPr>
            <a:ln xmlns:a="http://schemas.openxmlformats.org/drawingml/2006/main">
              <a:prstDash val="solid"/>
            </a:ln>
          </spPr>
          <cat>
            <numRef>
              <f>'품목요약'!$A$2:$A$81</f>
            </numRef>
          </cat>
          <val>
            <numRef>
              <f>'품목요약'!$G$2:$G$81</f>
            </numRef>
          </val>
        </ser>
        <ser>
          <idx val="1"/>
          <order val="1"/>
          <tx>
            <strRef>
              <f>'품목요약'!Q1</f>
            </strRef>
          </tx>
          <spPr>
            <a:ln xmlns:a="http://schemas.openxmlformats.org/drawingml/2006/main">
              <a:prstDash val="solid"/>
            </a:ln>
          </spPr>
          <cat>
            <numRef>
              <f>'품목요약'!$A$2:$A$81</f>
            </numRef>
          </cat>
          <val>
            <numRef>
              <f>'품목요약'!$Q$2:$Q$81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864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21</row>
      <rowOff>0</rowOff>
    </from>
    <ext cx="864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37</row>
      <rowOff>0</rowOff>
    </from>
    <ext cx="864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15</col>
      <colOff>0</colOff>
      <row>2</row>
      <rowOff>0</rowOff>
    </from>
    <ext cx="8640000" cy="576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15</col>
      <colOff>0</colOff>
      <row>35</row>
      <rowOff>0</rowOff>
    </from>
    <ext cx="8640000" cy="576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2F7A34"/>
    <outlinePr summaryBelow="1" summaryRight="1"/>
    <pageSetUpPr/>
  </sheetPr>
  <dimension ref="B1:H61"/>
  <sheetViews>
    <sheetView zoomScale="10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6" customWidth="1" min="2" max="2"/>
    <col width="22" customWidth="1" min="3" max="3"/>
    <col width="44" customWidth="1" min="4" max="4"/>
    <col width="14" customWidth="1" min="6" max="6"/>
    <col width="14" customWidth="1" min="7" max="7"/>
    <col width="12" customWidth="1" min="8" max="8"/>
  </cols>
  <sheetData>
    <row r="1">
      <c r="B1" s="1" t="inlineStr">
        <is>
          <t>서원농산 최대 마진 계산기</t>
        </is>
      </c>
    </row>
    <row r="2">
      <c r="B2" t="inlineStr">
        <is>
          <t>노란 칸만 고르거나 적으면 됩니다. 품목·채널은 목록에서 고릅니다.</t>
        </is>
      </c>
    </row>
    <row r="3">
      <c r="F3" s="2" t="inlineStr">
        <is>
          <t>계산용 (손대지 않음)</t>
        </is>
      </c>
    </row>
    <row r="4">
      <c r="B4" s="3" t="inlineStr">
        <is>
          <t>품목</t>
        </is>
      </c>
      <c r="C4" s="4" t="n"/>
      <c r="D4" t="inlineStr">
        <is>
          <t>← 품목요약의 품목 (등급·박스 무게별)</t>
        </is>
      </c>
      <c r="F4" s="5" t="inlineStr">
        <is>
          <t>품목 줄</t>
        </is>
      </c>
      <c r="H4" s="5">
        <f>IFERROR(MATCH($C$4,'품목요약'!$A:$A,0),0)</f>
        <v/>
      </c>
    </row>
    <row r="5">
      <c r="B5" s="3" t="inlineStr">
        <is>
          <t>판매 채널</t>
        </is>
      </c>
      <c r="C5" s="4" t="n"/>
      <c r="F5" s="5" t="inlineStr">
        <is>
          <t>채널 줄</t>
        </is>
      </c>
      <c r="H5" s="5">
        <f>IFERROR(MATCH($C$5,'설정'!$A$4:$A$11,0),0)</f>
        <v/>
      </c>
    </row>
    <row r="6">
      <c r="B6" s="3" t="inlineStr">
        <is>
          <t>원가 기준</t>
        </is>
      </c>
      <c r="C6" s="4" t="n"/>
      <c r="D6" t="inlineStr">
        <is>
          <t>최근 | 7일평균 | 7일최고</t>
        </is>
      </c>
      <c r="F6" s="5" t="inlineStr">
        <is>
          <t>소매 상한</t>
        </is>
      </c>
      <c r="H6" s="6">
        <f>IF(AND($H$4&gt;0,$H$5&gt;0,$C$15&gt;0),$C$15*$C$11*(1-INDEX('설정'!$G$4:$G$11,$H$5)/100),"")</f>
        <v/>
      </c>
    </row>
    <row r="7">
      <c r="B7" s="3" t="inlineStr">
        <is>
          <t>판매가 (원/박스, 비우면 권장가)</t>
        </is>
      </c>
      <c r="C7" s="7" t="n"/>
      <c r="F7" s="5" t="inlineStr">
        <is>
          <t>가락 상한</t>
        </is>
      </c>
      <c r="H7" s="6">
        <f>IF(AND($H$4&gt;0,$H$5&gt;0,$C$14&gt;0),$C$14*$C$11*(1+INDEX('설정'!$H$4:$H$11,$H$5)/100),"")</f>
        <v/>
      </c>
    </row>
    <row r="8">
      <c r="B8" s="3" t="inlineStr">
        <is>
          <t>판매 수량 (박스)</t>
        </is>
      </c>
      <c r="C8" s="8" t="n">
        <v>10</v>
      </c>
      <c r="F8" s="5" t="inlineStr">
        <is>
          <t>상한 기준</t>
        </is>
      </c>
      <c r="H8" s="5">
        <f>IF($H$5&gt;0,INDEX('설정'!$F$4:$F$11,$H$5),"")</f>
        <v/>
      </c>
    </row>
    <row r="10">
      <c r="B10" s="9" t="inlineStr">
        <is>
          <t>품목 정보</t>
        </is>
      </c>
    </row>
    <row r="11">
      <c r="B11" t="inlineStr">
        <is>
          <t>박스 무게(kg)</t>
        </is>
      </c>
      <c r="C11" s="10">
        <f>IF($H$4&gt;0,INDEX('품목요약'!$D:$D,$H$4),"")</f>
        <v/>
      </c>
    </row>
    <row r="12">
      <c r="B12" t="inlineStr">
        <is>
          <t>최근 경매일</t>
        </is>
      </c>
      <c r="C12" s="11">
        <f>IF($H$4&gt;0,INDEX('품목요약'!$E:$E,$H$4),"")</f>
        <v/>
      </c>
    </row>
    <row r="13">
      <c r="B13" t="inlineStr">
        <is>
          <t>원가 (박스당 낙찰 단가)</t>
        </is>
      </c>
      <c r="C13" s="12">
        <f>IF($H$4=0,"",IF($C$6="최근",INDEX('품목요약'!$F:$F,$H$4),IF($C$6="7일최고",INDEX('품목요약'!$H:$H,$H$4),INDEX('품목요약'!$G:$G,$H$4))))</f>
        <v/>
      </c>
      <c r="D13" s="5" t="inlineStr">
        <is>
          <t>원가 기준에 따라 최근·7일평균·7일최고</t>
        </is>
      </c>
    </row>
    <row r="14">
      <c r="B14" t="inlineStr">
        <is>
          <t>가락시장 7일 kg당 평균</t>
        </is>
      </c>
      <c r="C14" s="12">
        <f>IF($H$4&gt;0,N(INDEX('품목요약'!$N:$N,$H$4)),0)</f>
        <v/>
      </c>
      <c r="D14" s="5" t="inlineStr">
        <is>
          <t>공영도매시장 경락가 중 가락시장 (특·상만)</t>
        </is>
      </c>
    </row>
    <row r="15">
      <c r="B15" t="inlineStr">
        <is>
          <t>지역 소매 kg당 가운데값</t>
        </is>
      </c>
      <c r="C15" s="12">
        <f>IF($H$4&gt;0,N(INDEX('품목요약'!$P:$P,$H$4)),0)</f>
        <v/>
      </c>
      <c r="D15" s="5" t="inlineStr">
        <is>
          <t>KAMIS 지역별 소매가</t>
        </is>
      </c>
    </row>
    <row r="17">
      <c r="B17" s="9" t="inlineStr">
        <is>
          <t>판매 채널 비용</t>
        </is>
      </c>
    </row>
    <row r="18">
      <c r="B18" t="inlineStr">
        <is>
          <t>수수료율</t>
        </is>
      </c>
      <c r="C18" s="13">
        <f>IF($H$5&gt;0,INDEX('설정'!$B$4:$B$11,$H$5)/100,0)</f>
        <v/>
      </c>
    </row>
    <row r="19">
      <c r="B19" t="inlineStr">
        <is>
          <t>부대비 (택배+포장+기타)</t>
        </is>
      </c>
      <c r="C19" s="12">
        <f>IF($H$5&gt;0,INDEX('설정'!$C$4:$C$11,$H$5)+INDEX('설정'!$D$4:$D$11,$H$5)+INDEX('설정'!$E$4:$E$11,$H$5),0)</f>
        <v/>
      </c>
    </row>
    <row r="21">
      <c r="B21" s="9" t="inlineStr">
        <is>
          <t>결과</t>
        </is>
      </c>
    </row>
    <row r="22">
      <c r="B22" t="inlineStr">
        <is>
          <t>손익분기가</t>
        </is>
      </c>
      <c r="C22" s="14">
        <f>IF($C$13="","",($C$13+$C$19)/(1-$C$18))</f>
        <v/>
      </c>
      <c r="D22" s="5" t="inlineStr">
        <is>
          <t>이 값보다 싸게 팔면 손해</t>
        </is>
      </c>
    </row>
    <row r="23">
      <c r="B23" t="inlineStr">
        <is>
          <t>최소 마진가 (하한)</t>
        </is>
      </c>
      <c r="C23" s="12">
        <f>IF($C$22="","",$C$22*(1+IF($H$5&gt;0,INDEX('설정'!$I$4:$I$11,$H$5),0)/100))</f>
        <v/>
      </c>
      <c r="D23" s="5" t="inlineStr">
        <is>
          <t>최소 마진을 지키는 가장 낮은 값</t>
        </is>
      </c>
    </row>
    <row r="24">
      <c r="B24" t="inlineStr">
        <is>
          <t>상한가</t>
        </is>
      </c>
      <c r="C24" s="14">
        <f>IF($C$13="","",IF($H$8="소매",IF($H$6&lt;&gt;"",$H$6,$H$7),IF($H$7&lt;&gt;"",$H$7,$H$6)))</f>
        <v/>
      </c>
      <c r="D24" s="5" t="inlineStr">
        <is>
          <t>이보다 비싸면 소비자가 마트·시장을 택할 값</t>
        </is>
      </c>
    </row>
    <row r="25">
      <c r="B25" t="inlineStr">
        <is>
          <t>상한 기준</t>
        </is>
      </c>
      <c r="C25" s="15">
        <f>IF($C$24="","자료 없음",IF($H$8="소매",IF($H$6&lt;&gt;"","소매","가락(대신)"),IF($H$7&lt;&gt;"","가락","소매(대신)")))</f>
        <v/>
      </c>
    </row>
    <row r="26">
      <c r="B26" t="inlineStr">
        <is>
          <t>최대 마진 (상한가에 팔 때, 박스당)</t>
        </is>
      </c>
      <c r="C26" s="16">
        <f>IF(OR($C$24="",$C$13=""),"",$C$24*(1-$C$18)-$C$13-$C$19)</f>
        <v/>
      </c>
      <c r="D26" s="5" t="inlineStr">
        <is>
          <t>이 품목·채널에서 낼 수 있는 가장 큰 마진</t>
        </is>
      </c>
    </row>
    <row r="27">
      <c r="B27" t="inlineStr">
        <is>
          <t>최대 마진율</t>
        </is>
      </c>
      <c r="C27" s="13">
        <f>IF($C$26="","",$C$26/$C$24)</f>
        <v/>
      </c>
    </row>
    <row r="28">
      <c r="B28" t="inlineStr">
        <is>
          <t>권장가</t>
        </is>
      </c>
      <c r="C28" s="14">
        <f>IF($C$23="","",IF($C$24="",$C$23,IF($C$24&gt;$C$23,($C$23+$C$24)/2,$C$23)))</f>
        <v/>
      </c>
      <c r="D28" s="5" t="inlineStr">
        <is>
          <t>하한과 상한의 가운데</t>
        </is>
      </c>
    </row>
    <row r="29">
      <c r="B29" t="inlineStr">
        <is>
          <t>권장가 마진 (박스당)</t>
        </is>
      </c>
      <c r="C29" s="12">
        <f>IF($C$28="","",$C$28*(1-$C$18)-$C$13-$C$19)</f>
        <v/>
      </c>
    </row>
    <row r="31">
      <c r="B31" s="9" t="inlineStr">
        <is>
          <t>내 판매가로 계산</t>
        </is>
      </c>
    </row>
    <row r="32">
      <c r="B32" t="inlineStr">
        <is>
          <t>적용 판매가</t>
        </is>
      </c>
      <c r="C32" s="12">
        <f>IF(N($C$7)&gt;0,$C$7,$C$28)</f>
        <v/>
      </c>
      <c r="D32" s="5" t="inlineStr">
        <is>
          <t>판매가를 비우면 권장가</t>
        </is>
      </c>
    </row>
    <row r="33">
      <c r="B33" t="inlineStr">
        <is>
          <t>박스당 마진</t>
        </is>
      </c>
      <c r="C33" s="14">
        <f>IF(OR($C$32="",$C$13=""),"",$C$32*(1-$C$18)-$C$13-$C$19)</f>
        <v/>
      </c>
    </row>
    <row r="34">
      <c r="B34" t="inlineStr">
        <is>
          <t>마진율</t>
        </is>
      </c>
      <c r="C34" s="13">
        <f>IF($C$33="","",$C$33/$C$32)</f>
        <v/>
      </c>
    </row>
    <row r="35">
      <c r="B35" t="inlineStr">
        <is>
          <t>총 마진 (× 판매 수량)</t>
        </is>
      </c>
      <c r="C35" s="14">
        <f>IF($C$33="","",$C$33*N($C$8))</f>
        <v/>
      </c>
    </row>
    <row r="36">
      <c r="B36" t="inlineStr">
        <is>
          <t>최대 마진과의 차이 (박스당)</t>
        </is>
      </c>
      <c r="C36" s="12">
        <f>IF(OR($C$33="",$C$26=""),"",$C$33-$C$26)</f>
        <v/>
      </c>
      <c r="D36" s="5" t="inlineStr">
        <is>
          <t>0 에 가까울수록 최대 마진에 가깝게 판 것</t>
        </is>
      </c>
    </row>
    <row r="39">
      <c r="B39" s="9" t="inlineStr">
        <is>
          <t>가격별 마진 (그래프 시트의 '가격별 마진' 그래프)</t>
        </is>
      </c>
    </row>
    <row r="40">
      <c r="B40" s="17" t="inlineStr">
        <is>
          <t>판매가</t>
        </is>
      </c>
      <c r="C40" s="17" t="inlineStr">
        <is>
          <t>박스당 마진</t>
        </is>
      </c>
      <c r="D40" s="17" t="inlineStr">
        <is>
          <t>마진율</t>
        </is>
      </c>
    </row>
    <row r="41">
      <c r="B41" s="18">
        <f>IF($C$22="",NA(),ROUND(($C$22*0.9)+((IF($C$24="",$C$22*1.6,MAX($C$24,$C$22)*1.1))-($C$22*0.9))*0/20,-1))</f>
        <v/>
      </c>
      <c r="C41" s="18">
        <f>IF($C$22="",NA(),B41*(1-$C$18)-$C$13-$C$19)</f>
        <v/>
      </c>
      <c r="D41" s="19">
        <f>IF($C$22="",NA(),C41/B41)</f>
        <v/>
      </c>
    </row>
    <row r="42">
      <c r="B42" s="18">
        <f>IF($C$22="",NA(),ROUND(($C$22*0.9)+((IF($C$24="",$C$22*1.6,MAX($C$24,$C$22)*1.1))-($C$22*0.9))*1/20,-1))</f>
        <v/>
      </c>
      <c r="C42" s="18">
        <f>IF($C$22="",NA(),B42*(1-$C$18)-$C$13-$C$19)</f>
        <v/>
      </c>
      <c r="D42" s="19">
        <f>IF($C$22="",NA(),C42/B42)</f>
        <v/>
      </c>
    </row>
    <row r="43">
      <c r="B43" s="18">
        <f>IF($C$22="",NA(),ROUND(($C$22*0.9)+((IF($C$24="",$C$22*1.6,MAX($C$24,$C$22)*1.1))-($C$22*0.9))*2/20,-1))</f>
        <v/>
      </c>
      <c r="C43" s="18">
        <f>IF($C$22="",NA(),B43*(1-$C$18)-$C$13-$C$19)</f>
        <v/>
      </c>
      <c r="D43" s="19">
        <f>IF($C$22="",NA(),C43/B43)</f>
        <v/>
      </c>
    </row>
    <row r="44">
      <c r="B44" s="18">
        <f>IF($C$22="",NA(),ROUND(($C$22*0.9)+((IF($C$24="",$C$22*1.6,MAX($C$24,$C$22)*1.1))-($C$22*0.9))*3/20,-1))</f>
        <v/>
      </c>
      <c r="C44" s="18">
        <f>IF($C$22="",NA(),B44*(1-$C$18)-$C$13-$C$19)</f>
        <v/>
      </c>
      <c r="D44" s="19">
        <f>IF($C$22="",NA(),C44/B44)</f>
        <v/>
      </c>
    </row>
    <row r="45">
      <c r="B45" s="18">
        <f>IF($C$22="",NA(),ROUND(($C$22*0.9)+((IF($C$24="",$C$22*1.6,MAX($C$24,$C$22)*1.1))-($C$22*0.9))*4/20,-1))</f>
        <v/>
      </c>
      <c r="C45" s="18">
        <f>IF($C$22="",NA(),B45*(1-$C$18)-$C$13-$C$19)</f>
        <v/>
      </c>
      <c r="D45" s="19">
        <f>IF($C$22="",NA(),C45/B45)</f>
        <v/>
      </c>
    </row>
    <row r="46">
      <c r="B46" s="18">
        <f>IF($C$22="",NA(),ROUND(($C$22*0.9)+((IF($C$24="",$C$22*1.6,MAX($C$24,$C$22)*1.1))-($C$22*0.9))*5/20,-1))</f>
        <v/>
      </c>
      <c r="C46" s="18">
        <f>IF($C$22="",NA(),B46*(1-$C$18)-$C$13-$C$19)</f>
        <v/>
      </c>
      <c r="D46" s="19">
        <f>IF($C$22="",NA(),C46/B46)</f>
        <v/>
      </c>
    </row>
    <row r="47">
      <c r="B47" s="18">
        <f>IF($C$22="",NA(),ROUND(($C$22*0.9)+((IF($C$24="",$C$22*1.6,MAX($C$24,$C$22)*1.1))-($C$22*0.9))*6/20,-1))</f>
        <v/>
      </c>
      <c r="C47" s="18">
        <f>IF($C$22="",NA(),B47*(1-$C$18)-$C$13-$C$19)</f>
        <v/>
      </c>
      <c r="D47" s="19">
        <f>IF($C$22="",NA(),C47/B47)</f>
        <v/>
      </c>
    </row>
    <row r="48">
      <c r="B48" s="18">
        <f>IF($C$22="",NA(),ROUND(($C$22*0.9)+((IF($C$24="",$C$22*1.6,MAX($C$24,$C$22)*1.1))-($C$22*0.9))*7/20,-1))</f>
        <v/>
      </c>
      <c r="C48" s="18">
        <f>IF($C$22="",NA(),B48*(1-$C$18)-$C$13-$C$19)</f>
        <v/>
      </c>
      <c r="D48" s="19">
        <f>IF($C$22="",NA(),C48/B48)</f>
        <v/>
      </c>
    </row>
    <row r="49">
      <c r="B49" s="18">
        <f>IF($C$22="",NA(),ROUND(($C$22*0.9)+((IF($C$24="",$C$22*1.6,MAX($C$24,$C$22)*1.1))-($C$22*0.9))*8/20,-1))</f>
        <v/>
      </c>
      <c r="C49" s="18">
        <f>IF($C$22="",NA(),B49*(1-$C$18)-$C$13-$C$19)</f>
        <v/>
      </c>
      <c r="D49" s="19">
        <f>IF($C$22="",NA(),C49/B49)</f>
        <v/>
      </c>
    </row>
    <row r="50">
      <c r="B50" s="18">
        <f>IF($C$22="",NA(),ROUND(($C$22*0.9)+((IF($C$24="",$C$22*1.6,MAX($C$24,$C$22)*1.1))-($C$22*0.9))*9/20,-1))</f>
        <v/>
      </c>
      <c r="C50" s="18">
        <f>IF($C$22="",NA(),B50*(1-$C$18)-$C$13-$C$19)</f>
        <v/>
      </c>
      <c r="D50" s="19">
        <f>IF($C$22="",NA(),C50/B50)</f>
        <v/>
      </c>
    </row>
    <row r="51">
      <c r="B51" s="18">
        <f>IF($C$22="",NA(),ROUND(($C$22*0.9)+((IF($C$24="",$C$22*1.6,MAX($C$24,$C$22)*1.1))-($C$22*0.9))*10/20,-1))</f>
        <v/>
      </c>
      <c r="C51" s="18">
        <f>IF($C$22="",NA(),B51*(1-$C$18)-$C$13-$C$19)</f>
        <v/>
      </c>
      <c r="D51" s="19">
        <f>IF($C$22="",NA(),C51/B51)</f>
        <v/>
      </c>
    </row>
    <row r="52">
      <c r="B52" s="18">
        <f>IF($C$22="",NA(),ROUND(($C$22*0.9)+((IF($C$24="",$C$22*1.6,MAX($C$24,$C$22)*1.1))-($C$22*0.9))*11/20,-1))</f>
        <v/>
      </c>
      <c r="C52" s="18">
        <f>IF($C$22="",NA(),B52*(1-$C$18)-$C$13-$C$19)</f>
        <v/>
      </c>
      <c r="D52" s="19">
        <f>IF($C$22="",NA(),C52/B52)</f>
        <v/>
      </c>
    </row>
    <row r="53">
      <c r="B53" s="18">
        <f>IF($C$22="",NA(),ROUND(($C$22*0.9)+((IF($C$24="",$C$22*1.6,MAX($C$24,$C$22)*1.1))-($C$22*0.9))*12/20,-1))</f>
        <v/>
      </c>
      <c r="C53" s="18">
        <f>IF($C$22="",NA(),B53*(1-$C$18)-$C$13-$C$19)</f>
        <v/>
      </c>
      <c r="D53" s="19">
        <f>IF($C$22="",NA(),C53/B53)</f>
        <v/>
      </c>
    </row>
    <row r="54">
      <c r="B54" s="18">
        <f>IF($C$22="",NA(),ROUND(($C$22*0.9)+((IF($C$24="",$C$22*1.6,MAX($C$24,$C$22)*1.1))-($C$22*0.9))*13/20,-1))</f>
        <v/>
      </c>
      <c r="C54" s="18">
        <f>IF($C$22="",NA(),B54*(1-$C$18)-$C$13-$C$19)</f>
        <v/>
      </c>
      <c r="D54" s="19">
        <f>IF($C$22="",NA(),C54/B54)</f>
        <v/>
      </c>
    </row>
    <row r="55">
      <c r="B55" s="18">
        <f>IF($C$22="",NA(),ROUND(($C$22*0.9)+((IF($C$24="",$C$22*1.6,MAX($C$24,$C$22)*1.1))-($C$22*0.9))*14/20,-1))</f>
        <v/>
      </c>
      <c r="C55" s="18">
        <f>IF($C$22="",NA(),B55*(1-$C$18)-$C$13-$C$19)</f>
        <v/>
      </c>
      <c r="D55" s="19">
        <f>IF($C$22="",NA(),C55/B55)</f>
        <v/>
      </c>
    </row>
    <row r="56">
      <c r="B56" s="18">
        <f>IF($C$22="",NA(),ROUND(($C$22*0.9)+((IF($C$24="",$C$22*1.6,MAX($C$24,$C$22)*1.1))-($C$22*0.9))*15/20,-1))</f>
        <v/>
      </c>
      <c r="C56" s="18">
        <f>IF($C$22="",NA(),B56*(1-$C$18)-$C$13-$C$19)</f>
        <v/>
      </c>
      <c r="D56" s="19">
        <f>IF($C$22="",NA(),C56/B56)</f>
        <v/>
      </c>
    </row>
    <row r="57">
      <c r="B57" s="18">
        <f>IF($C$22="",NA(),ROUND(($C$22*0.9)+((IF($C$24="",$C$22*1.6,MAX($C$24,$C$22)*1.1))-($C$22*0.9))*16/20,-1))</f>
        <v/>
      </c>
      <c r="C57" s="18">
        <f>IF($C$22="",NA(),B57*(1-$C$18)-$C$13-$C$19)</f>
        <v/>
      </c>
      <c r="D57" s="19">
        <f>IF($C$22="",NA(),C57/B57)</f>
        <v/>
      </c>
    </row>
    <row r="58">
      <c r="B58" s="18">
        <f>IF($C$22="",NA(),ROUND(($C$22*0.9)+((IF($C$24="",$C$22*1.6,MAX($C$24,$C$22)*1.1))-($C$22*0.9))*17/20,-1))</f>
        <v/>
      </c>
      <c r="C58" s="18">
        <f>IF($C$22="",NA(),B58*(1-$C$18)-$C$13-$C$19)</f>
        <v/>
      </c>
      <c r="D58" s="19">
        <f>IF($C$22="",NA(),C58/B58)</f>
        <v/>
      </c>
    </row>
    <row r="59">
      <c r="B59" s="18">
        <f>IF($C$22="",NA(),ROUND(($C$22*0.9)+((IF($C$24="",$C$22*1.6,MAX($C$24,$C$22)*1.1))-($C$22*0.9))*18/20,-1))</f>
        <v/>
      </c>
      <c r="C59" s="18">
        <f>IF($C$22="",NA(),B59*(1-$C$18)-$C$13-$C$19)</f>
        <v/>
      </c>
      <c r="D59" s="19">
        <f>IF($C$22="",NA(),C59/B59)</f>
        <v/>
      </c>
    </row>
    <row r="60">
      <c r="B60" s="18">
        <f>IF($C$22="",NA(),ROUND(($C$22*0.9)+((IF($C$24="",$C$22*1.6,MAX($C$24,$C$22)*1.1))-($C$22*0.9))*19/20,-1))</f>
        <v/>
      </c>
      <c r="C60" s="18">
        <f>IF($C$22="",NA(),B60*(1-$C$18)-$C$13-$C$19)</f>
        <v/>
      </c>
      <c r="D60" s="19">
        <f>IF($C$22="",NA(),C60/B60)</f>
        <v/>
      </c>
    </row>
    <row r="61">
      <c r="B61" s="18">
        <f>IF($C$22="",NA(),ROUND(($C$22*0.9)+((IF($C$24="",$C$22*1.6,MAX($C$24,$C$22)*1.1))-($C$22*0.9))*20/20,-1))</f>
        <v/>
      </c>
      <c r="C61" s="18">
        <f>IF($C$22="",NA(),B61*(1-$C$18)-$C$13-$C$19)</f>
        <v/>
      </c>
      <c r="D61" s="19">
        <f>IF($C$22="",NA(),C61/B61)</f>
        <v/>
      </c>
    </row>
  </sheetData>
  <dataValidations count="3">
    <dataValidation sqref="C4" showDropDown="0" showInputMessage="0" showErrorMessage="0" allowBlank="0" type="list">
      <formula1>품목목록</formula1>
    </dataValidation>
    <dataValidation sqref="C5" showDropDown="0" showInputMessage="0" showErrorMessage="0" allowBlank="0" type="list">
      <formula1>'설정'!$A$4:$A$11</formula1>
    </dataValidation>
    <dataValidation sqref="C6" showDropDown="0" showInputMessage="0" showErrorMessage="0" allowBlank="0" type="list">
      <formula1>"최근,7일평균,7일최고"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9472B"/>
    <outlinePr summaryBelow="1" summaryRight="1"/>
    <pageSetUpPr/>
  </sheetPr>
  <dimension ref="A1:A1"/>
  <sheetViews>
    <sheetView zoomScale="100" workbookViewId="0">
      <selection activeCell="A1" sqref="A1"/>
    </sheetView>
  </sheetViews>
  <sheetFormatPr baseColWidth="8" defaultRowHeight="15"/>
  <sheetData>
    <row r="1">
      <c r="A1" s="1" t="inlineStr">
        <is>
          <t>그래프 — 계산기에서 품목·채널을 바꾸면 함께 바뀝니다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2"/>
  <sheetViews>
    <sheetView zoomScale="10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0" customWidth="1" min="2" max="2"/>
    <col width="7" customWidth="1" min="3" max="3"/>
    <col width="7" customWidth="1" min="4" max="4"/>
    <col width="11" customWidth="1" min="5" max="5"/>
    <col width="12" customWidth="1" min="6" max="6"/>
    <col width="12" customWidth="1" min="7" max="7"/>
    <col width="12" customWidth="1" min="8" max="8"/>
    <col width="12" customWidth="1" min="9" max="9"/>
    <col width="11" customWidth="1" min="10" max="10"/>
    <col width="11" customWidth="1" min="11" max="11"/>
    <col width="10" customWidth="1" min="12" max="12"/>
    <col width="13" customWidth="1" min="13" max="13"/>
    <col width="11" customWidth="1" min="14" max="14"/>
    <col width="11" customWidth="1" min="15" max="15"/>
    <col width="11" customWidth="1" min="16" max="16"/>
    <col width="12" customWidth="1" min="17" max="17"/>
    <col width="13" customWidth="1" min="18" max="18"/>
    <col width="12" customWidth="1" min="19" max="19"/>
    <col width="12" customWidth="1" min="20" max="20"/>
    <col width="12" customWidth="1" min="21" max="21"/>
    <col width="9" customWidth="1" min="22" max="22"/>
    <col width="12" customWidth="1" min="23" max="23"/>
    <col width="12" customWidth="1" min="24" max="24"/>
    <col width="9" customWidth="1" min="25" max="25"/>
    <col width="12" customWidth="1" min="26" max="26"/>
    <col width="12" customWidth="1" min="27" max="27"/>
    <col width="9" customWidth="1" min="28" max="28"/>
  </cols>
  <sheetData>
    <row r="1" ht="32" customHeight="1">
      <c r="A1" s="20" t="inlineStr">
        <is>
          <t>품목</t>
        </is>
      </c>
      <c r="B1" s="20" t="inlineStr">
        <is>
          <t>품목군</t>
        </is>
      </c>
      <c r="C1" s="20" t="inlineStr">
        <is>
          <t>등급</t>
        </is>
      </c>
      <c r="D1" s="20" t="inlineStr">
        <is>
          <t>박스kg</t>
        </is>
      </c>
      <c r="E1" s="20" t="inlineStr">
        <is>
          <t>최근 경매일</t>
        </is>
      </c>
      <c r="F1" s="20" t="inlineStr">
        <is>
          <t>최근 단가(박스)</t>
        </is>
      </c>
      <c r="G1" s="20" t="inlineStr">
        <is>
          <t>7일 평균(박스)</t>
        </is>
      </c>
      <c r="H1" s="20" t="inlineStr">
        <is>
          <t>7일 최고(박스)</t>
        </is>
      </c>
      <c r="I1" s="20" t="inlineStr">
        <is>
          <t>기간 평균(박스)</t>
        </is>
      </c>
      <c r="J1" s="20" t="inlineStr">
        <is>
          <t>기간 최저 단가</t>
        </is>
      </c>
      <c r="K1" s="20" t="inlineStr">
        <is>
          <t>기간 최고 단가</t>
        </is>
      </c>
      <c r="L1" s="20" t="inlineStr">
        <is>
          <t>총 낙찰 수량</t>
        </is>
      </c>
      <c r="M1" s="20" t="inlineStr">
        <is>
          <t>총 낙찰 금액</t>
        </is>
      </c>
      <c r="N1" s="20" t="inlineStr">
        <is>
          <t>가락 7일 kg당</t>
        </is>
      </c>
      <c r="O1" s="20" t="inlineStr">
        <is>
          <t>전국 7일 kg당</t>
        </is>
      </c>
      <c r="P1" s="20" t="inlineStr">
        <is>
          <t>소매 kg당(가운데)</t>
        </is>
      </c>
      <c r="Q1" s="20" t="inlineStr">
        <is>
          <t>가락 박스 환산</t>
        </is>
      </c>
      <c r="R1" s="20" t="inlineStr">
        <is>
          <t>가락보다 싸게 산 금액</t>
        </is>
      </c>
      <c r="S1" s="20" t="inlineStr">
        <is>
          <t>원가(기준)</t>
        </is>
      </c>
      <c r="T1" s="20">
        <f>'설정'!$A$4&amp;" 상한가"</f>
        <v/>
      </c>
      <c r="U1" s="20">
        <f>'설정'!$A$4&amp;" 최대 마진"</f>
        <v/>
      </c>
      <c r="V1" s="20">
        <f>'설정'!$A$4&amp;" 마진율"</f>
        <v/>
      </c>
      <c r="W1" s="20">
        <f>'설정'!$A$5&amp;" 상한가"</f>
        <v/>
      </c>
      <c r="X1" s="20">
        <f>'설정'!$A$5&amp;" 최대 마진"</f>
        <v/>
      </c>
      <c r="Y1" s="20">
        <f>'설정'!$A$5&amp;" 마진율"</f>
        <v/>
      </c>
      <c r="Z1" s="20">
        <f>'설정'!$A$6&amp;" 상한가"</f>
        <v/>
      </c>
      <c r="AA1" s="20">
        <f>'설정'!$A$6&amp;" 최대 마진"</f>
        <v/>
      </c>
      <c r="AB1" s="20">
        <f>'설정'!$A$6&amp;" 마진율"</f>
        <v/>
      </c>
    </row>
    <row r="2">
      <c r="A2" s="21" t="n"/>
      <c r="B2" s="21" t="n"/>
      <c r="C2" s="21" t="n"/>
      <c r="D2" s="22" t="n"/>
      <c r="E2" s="23" t="n"/>
      <c r="F2" s="18" t="n"/>
      <c r="G2" s="18" t="n"/>
      <c r="H2" s="18" t="n"/>
      <c r="I2" s="18" t="n"/>
      <c r="J2" s="18" t="n"/>
      <c r="K2" s="18" t="n"/>
      <c r="L2" s="24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18" t="n"/>
      <c r="X2" s="18" t="n"/>
      <c r="Y2" s="19" t="n"/>
      <c r="Z2" s="18" t="n"/>
      <c r="AA2" s="18" t="n"/>
      <c r="AB2" s="19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4"/>
  <sheetViews>
    <sheetView zoomScale="10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2" customWidth="1" min="7" max="7"/>
  </cols>
  <sheetData>
    <row r="1">
      <c r="A1" s="1" t="inlineStr">
        <is>
          <t>선택한 품목의 날짜별 추이 (계산기 C4 의 품목)</t>
        </is>
      </c>
      <c r="F1" t="inlineStr">
        <is>
          <t>품목</t>
        </is>
      </c>
      <c r="G1" s="3">
        <f>'계산기'!$C$4</f>
        <v/>
      </c>
    </row>
    <row r="2" ht="32" customHeight="1">
      <c r="A2" s="20" t="inlineStr">
        <is>
          <t>날짜</t>
        </is>
      </c>
      <c r="B2" s="20" t="inlineStr">
        <is>
          <t>서원 낙찰 평균(박스)</t>
        </is>
      </c>
      <c r="C2" s="20" t="inlineStr">
        <is>
          <t>가락 평균(박스 환산)</t>
        </is>
      </c>
      <c r="D2" s="20" t="inlineStr">
        <is>
          <t>전국 평균(박스 환산)</t>
        </is>
      </c>
      <c r="E2" s="20" t="inlineStr">
        <is>
          <t>소매 기준 상한(박스)</t>
        </is>
      </c>
      <c r="F2" s="20" t="inlineStr">
        <is>
          <t>가락보다 싸게 산 금액</t>
        </is>
      </c>
      <c r="G2" s="20" t="inlineStr">
        <is>
          <t>그날 낙찰 수량</t>
        </is>
      </c>
    </row>
    <row r="3">
      <c r="A3" s="23">
        <f>IFERROR(MAX('일별데이터'!$A:$A),TODAY())-39</f>
        <v/>
      </c>
      <c r="B3" s="18">
        <f>IFERROR(SUMIFS('일별데이터'!$I:$I,'일별데이터'!$B:$B,$G$1,'일별데이터'!$A:$A,$A3)/SUMIFS('일별데이터'!$E:$E,'일별데이터'!$B:$B,$G$1,'일별데이터'!$A:$A,$A3),NA())</f>
        <v/>
      </c>
      <c r="C3" s="18">
        <f>IFERROR(AVERAGEIFS('일별데이터'!$J:$J,'일별데이터'!$B:$B,$G$1,'일별데이터'!$A:$A,$A3)*'계산기'!$C$11,NA())</f>
        <v/>
      </c>
      <c r="D3" s="18">
        <f>IFERROR(AVERAGEIFS('일별데이터'!$N:$N,'일별데이터'!$B:$B,$G$1,'일별데이터'!$A:$A,$A3)*'계산기'!$C$11,NA())</f>
        <v/>
      </c>
      <c r="E3" s="18">
        <f>IFERROR(AVERAGEIFS('일별데이터'!$O:$O,'일별데이터'!$B:$B,$G$1,'일별데이터'!$A:$A,$A3)*'계산기'!$C$11*(1-IF('계산기'!$H$5&gt;0,INDEX('설정'!$G$4:$G$11,'계산기'!$H$5),0)/100),NA())</f>
        <v/>
      </c>
      <c r="F3" s="18">
        <f>IFERROR(C3-B3,NA())</f>
        <v/>
      </c>
      <c r="G3" s="24">
        <f>SUMIFS('일별데이터'!$E:$E,'일별데이터'!$B:$B,$G$1,'일별데이터'!$A:$A,$A3)</f>
        <v/>
      </c>
    </row>
    <row r="4">
      <c r="A4" s="23">
        <f>IFERROR(MAX('일별데이터'!$A:$A),TODAY())-38</f>
        <v/>
      </c>
      <c r="B4" s="18">
        <f>IFERROR(SUMIFS('일별데이터'!$I:$I,'일별데이터'!$B:$B,$G$1,'일별데이터'!$A:$A,$A4)/SUMIFS('일별데이터'!$E:$E,'일별데이터'!$B:$B,$G$1,'일별데이터'!$A:$A,$A4),NA())</f>
        <v/>
      </c>
      <c r="C4" s="18">
        <f>IFERROR(AVERAGEIFS('일별데이터'!$J:$J,'일별데이터'!$B:$B,$G$1,'일별데이터'!$A:$A,$A4)*'계산기'!$C$11,NA())</f>
        <v/>
      </c>
      <c r="D4" s="18">
        <f>IFERROR(AVERAGEIFS('일별데이터'!$N:$N,'일별데이터'!$B:$B,$G$1,'일별데이터'!$A:$A,$A4)*'계산기'!$C$11,NA())</f>
        <v/>
      </c>
      <c r="E4" s="18">
        <f>IFERROR(AVERAGEIFS('일별데이터'!$O:$O,'일별데이터'!$B:$B,$G$1,'일별데이터'!$A:$A,$A4)*'계산기'!$C$11*(1-IF('계산기'!$H$5&gt;0,INDEX('설정'!$G$4:$G$11,'계산기'!$H$5),0)/100),NA())</f>
        <v/>
      </c>
      <c r="F4" s="18">
        <f>IFERROR(C4-B4,NA())</f>
        <v/>
      </c>
      <c r="G4" s="24">
        <f>SUMIFS('일별데이터'!$E:$E,'일별데이터'!$B:$B,$G$1,'일별데이터'!$A:$A,$A4)</f>
        <v/>
      </c>
    </row>
    <row r="5">
      <c r="A5" s="23">
        <f>IFERROR(MAX('일별데이터'!$A:$A),TODAY())-37</f>
        <v/>
      </c>
      <c r="B5" s="18">
        <f>IFERROR(SUMIFS('일별데이터'!$I:$I,'일별데이터'!$B:$B,$G$1,'일별데이터'!$A:$A,$A5)/SUMIFS('일별데이터'!$E:$E,'일별데이터'!$B:$B,$G$1,'일별데이터'!$A:$A,$A5),NA())</f>
        <v/>
      </c>
      <c r="C5" s="18">
        <f>IFERROR(AVERAGEIFS('일별데이터'!$J:$J,'일별데이터'!$B:$B,$G$1,'일별데이터'!$A:$A,$A5)*'계산기'!$C$11,NA())</f>
        <v/>
      </c>
      <c r="D5" s="18">
        <f>IFERROR(AVERAGEIFS('일별데이터'!$N:$N,'일별데이터'!$B:$B,$G$1,'일별데이터'!$A:$A,$A5)*'계산기'!$C$11,NA())</f>
        <v/>
      </c>
      <c r="E5" s="18">
        <f>IFERROR(AVERAGEIFS('일별데이터'!$O:$O,'일별데이터'!$B:$B,$G$1,'일별데이터'!$A:$A,$A5)*'계산기'!$C$11*(1-IF('계산기'!$H$5&gt;0,INDEX('설정'!$G$4:$G$11,'계산기'!$H$5),0)/100),NA())</f>
        <v/>
      </c>
      <c r="F5" s="18">
        <f>IFERROR(C5-B5,NA())</f>
        <v/>
      </c>
      <c r="G5" s="24">
        <f>SUMIFS('일별데이터'!$E:$E,'일별데이터'!$B:$B,$G$1,'일별데이터'!$A:$A,$A5)</f>
        <v/>
      </c>
    </row>
    <row r="6">
      <c r="A6" s="23">
        <f>IFERROR(MAX('일별데이터'!$A:$A),TODAY())-36</f>
        <v/>
      </c>
      <c r="B6" s="18">
        <f>IFERROR(SUMIFS('일별데이터'!$I:$I,'일별데이터'!$B:$B,$G$1,'일별데이터'!$A:$A,$A6)/SUMIFS('일별데이터'!$E:$E,'일별데이터'!$B:$B,$G$1,'일별데이터'!$A:$A,$A6),NA())</f>
        <v/>
      </c>
      <c r="C6" s="18">
        <f>IFERROR(AVERAGEIFS('일별데이터'!$J:$J,'일별데이터'!$B:$B,$G$1,'일별데이터'!$A:$A,$A6)*'계산기'!$C$11,NA())</f>
        <v/>
      </c>
      <c r="D6" s="18">
        <f>IFERROR(AVERAGEIFS('일별데이터'!$N:$N,'일별데이터'!$B:$B,$G$1,'일별데이터'!$A:$A,$A6)*'계산기'!$C$11,NA())</f>
        <v/>
      </c>
      <c r="E6" s="18">
        <f>IFERROR(AVERAGEIFS('일별데이터'!$O:$O,'일별데이터'!$B:$B,$G$1,'일별데이터'!$A:$A,$A6)*'계산기'!$C$11*(1-IF('계산기'!$H$5&gt;0,INDEX('설정'!$G$4:$G$11,'계산기'!$H$5),0)/100),NA())</f>
        <v/>
      </c>
      <c r="F6" s="18">
        <f>IFERROR(C6-B6,NA())</f>
        <v/>
      </c>
      <c r="G6" s="24">
        <f>SUMIFS('일별데이터'!$E:$E,'일별데이터'!$B:$B,$G$1,'일별데이터'!$A:$A,$A6)</f>
        <v/>
      </c>
    </row>
    <row r="7">
      <c r="A7" s="23">
        <f>IFERROR(MAX('일별데이터'!$A:$A),TODAY())-35</f>
        <v/>
      </c>
      <c r="B7" s="18">
        <f>IFERROR(SUMIFS('일별데이터'!$I:$I,'일별데이터'!$B:$B,$G$1,'일별데이터'!$A:$A,$A7)/SUMIFS('일별데이터'!$E:$E,'일별데이터'!$B:$B,$G$1,'일별데이터'!$A:$A,$A7),NA())</f>
        <v/>
      </c>
      <c r="C7" s="18">
        <f>IFERROR(AVERAGEIFS('일별데이터'!$J:$J,'일별데이터'!$B:$B,$G$1,'일별데이터'!$A:$A,$A7)*'계산기'!$C$11,NA())</f>
        <v/>
      </c>
      <c r="D7" s="18">
        <f>IFERROR(AVERAGEIFS('일별데이터'!$N:$N,'일별데이터'!$B:$B,$G$1,'일별데이터'!$A:$A,$A7)*'계산기'!$C$11,NA())</f>
        <v/>
      </c>
      <c r="E7" s="18">
        <f>IFERROR(AVERAGEIFS('일별데이터'!$O:$O,'일별데이터'!$B:$B,$G$1,'일별데이터'!$A:$A,$A7)*'계산기'!$C$11*(1-IF('계산기'!$H$5&gt;0,INDEX('설정'!$G$4:$G$11,'계산기'!$H$5),0)/100),NA())</f>
        <v/>
      </c>
      <c r="F7" s="18">
        <f>IFERROR(C7-B7,NA())</f>
        <v/>
      </c>
      <c r="G7" s="24">
        <f>SUMIFS('일별데이터'!$E:$E,'일별데이터'!$B:$B,$G$1,'일별데이터'!$A:$A,$A7)</f>
        <v/>
      </c>
    </row>
    <row r="8">
      <c r="A8" s="23">
        <f>IFERROR(MAX('일별데이터'!$A:$A),TODAY())-34</f>
        <v/>
      </c>
      <c r="B8" s="18">
        <f>IFERROR(SUMIFS('일별데이터'!$I:$I,'일별데이터'!$B:$B,$G$1,'일별데이터'!$A:$A,$A8)/SUMIFS('일별데이터'!$E:$E,'일별데이터'!$B:$B,$G$1,'일별데이터'!$A:$A,$A8),NA())</f>
        <v/>
      </c>
      <c r="C8" s="18">
        <f>IFERROR(AVERAGEIFS('일별데이터'!$J:$J,'일별데이터'!$B:$B,$G$1,'일별데이터'!$A:$A,$A8)*'계산기'!$C$11,NA())</f>
        <v/>
      </c>
      <c r="D8" s="18">
        <f>IFERROR(AVERAGEIFS('일별데이터'!$N:$N,'일별데이터'!$B:$B,$G$1,'일별데이터'!$A:$A,$A8)*'계산기'!$C$11,NA())</f>
        <v/>
      </c>
      <c r="E8" s="18">
        <f>IFERROR(AVERAGEIFS('일별데이터'!$O:$O,'일별데이터'!$B:$B,$G$1,'일별데이터'!$A:$A,$A8)*'계산기'!$C$11*(1-IF('계산기'!$H$5&gt;0,INDEX('설정'!$G$4:$G$11,'계산기'!$H$5),0)/100),NA())</f>
        <v/>
      </c>
      <c r="F8" s="18">
        <f>IFERROR(C8-B8,NA())</f>
        <v/>
      </c>
      <c r="G8" s="24">
        <f>SUMIFS('일별데이터'!$E:$E,'일별데이터'!$B:$B,$G$1,'일별데이터'!$A:$A,$A8)</f>
        <v/>
      </c>
    </row>
    <row r="9">
      <c r="A9" s="23">
        <f>IFERROR(MAX('일별데이터'!$A:$A),TODAY())-33</f>
        <v/>
      </c>
      <c r="B9" s="18">
        <f>IFERROR(SUMIFS('일별데이터'!$I:$I,'일별데이터'!$B:$B,$G$1,'일별데이터'!$A:$A,$A9)/SUMIFS('일별데이터'!$E:$E,'일별데이터'!$B:$B,$G$1,'일별데이터'!$A:$A,$A9),NA())</f>
        <v/>
      </c>
      <c r="C9" s="18">
        <f>IFERROR(AVERAGEIFS('일별데이터'!$J:$J,'일별데이터'!$B:$B,$G$1,'일별데이터'!$A:$A,$A9)*'계산기'!$C$11,NA())</f>
        <v/>
      </c>
      <c r="D9" s="18">
        <f>IFERROR(AVERAGEIFS('일별데이터'!$N:$N,'일별데이터'!$B:$B,$G$1,'일별데이터'!$A:$A,$A9)*'계산기'!$C$11,NA())</f>
        <v/>
      </c>
      <c r="E9" s="18">
        <f>IFERROR(AVERAGEIFS('일별데이터'!$O:$O,'일별데이터'!$B:$B,$G$1,'일별데이터'!$A:$A,$A9)*'계산기'!$C$11*(1-IF('계산기'!$H$5&gt;0,INDEX('설정'!$G$4:$G$11,'계산기'!$H$5),0)/100),NA())</f>
        <v/>
      </c>
      <c r="F9" s="18">
        <f>IFERROR(C9-B9,NA())</f>
        <v/>
      </c>
      <c r="G9" s="24">
        <f>SUMIFS('일별데이터'!$E:$E,'일별데이터'!$B:$B,$G$1,'일별데이터'!$A:$A,$A9)</f>
        <v/>
      </c>
    </row>
    <row r="10">
      <c r="A10" s="23">
        <f>IFERROR(MAX('일별데이터'!$A:$A),TODAY())-32</f>
        <v/>
      </c>
      <c r="B10" s="18">
        <f>IFERROR(SUMIFS('일별데이터'!$I:$I,'일별데이터'!$B:$B,$G$1,'일별데이터'!$A:$A,$A10)/SUMIFS('일별데이터'!$E:$E,'일별데이터'!$B:$B,$G$1,'일별데이터'!$A:$A,$A10),NA())</f>
        <v/>
      </c>
      <c r="C10" s="18">
        <f>IFERROR(AVERAGEIFS('일별데이터'!$J:$J,'일별데이터'!$B:$B,$G$1,'일별데이터'!$A:$A,$A10)*'계산기'!$C$11,NA())</f>
        <v/>
      </c>
      <c r="D10" s="18">
        <f>IFERROR(AVERAGEIFS('일별데이터'!$N:$N,'일별데이터'!$B:$B,$G$1,'일별데이터'!$A:$A,$A10)*'계산기'!$C$11,NA())</f>
        <v/>
      </c>
      <c r="E10" s="18">
        <f>IFERROR(AVERAGEIFS('일별데이터'!$O:$O,'일별데이터'!$B:$B,$G$1,'일별데이터'!$A:$A,$A10)*'계산기'!$C$11*(1-IF('계산기'!$H$5&gt;0,INDEX('설정'!$G$4:$G$11,'계산기'!$H$5),0)/100),NA())</f>
        <v/>
      </c>
      <c r="F10" s="18">
        <f>IFERROR(C10-B10,NA())</f>
        <v/>
      </c>
      <c r="G10" s="24">
        <f>SUMIFS('일별데이터'!$E:$E,'일별데이터'!$B:$B,$G$1,'일별데이터'!$A:$A,$A10)</f>
        <v/>
      </c>
    </row>
    <row r="11">
      <c r="A11" s="23">
        <f>IFERROR(MAX('일별데이터'!$A:$A),TODAY())-31</f>
        <v/>
      </c>
      <c r="B11" s="18">
        <f>IFERROR(SUMIFS('일별데이터'!$I:$I,'일별데이터'!$B:$B,$G$1,'일별데이터'!$A:$A,$A11)/SUMIFS('일별데이터'!$E:$E,'일별데이터'!$B:$B,$G$1,'일별데이터'!$A:$A,$A11),NA())</f>
        <v/>
      </c>
      <c r="C11" s="18">
        <f>IFERROR(AVERAGEIFS('일별데이터'!$J:$J,'일별데이터'!$B:$B,$G$1,'일별데이터'!$A:$A,$A11)*'계산기'!$C$11,NA())</f>
        <v/>
      </c>
      <c r="D11" s="18">
        <f>IFERROR(AVERAGEIFS('일별데이터'!$N:$N,'일별데이터'!$B:$B,$G$1,'일별데이터'!$A:$A,$A11)*'계산기'!$C$11,NA())</f>
        <v/>
      </c>
      <c r="E11" s="18">
        <f>IFERROR(AVERAGEIFS('일별데이터'!$O:$O,'일별데이터'!$B:$B,$G$1,'일별데이터'!$A:$A,$A11)*'계산기'!$C$11*(1-IF('계산기'!$H$5&gt;0,INDEX('설정'!$G$4:$G$11,'계산기'!$H$5),0)/100),NA())</f>
        <v/>
      </c>
      <c r="F11" s="18">
        <f>IFERROR(C11-B11,NA())</f>
        <v/>
      </c>
      <c r="G11" s="24">
        <f>SUMIFS('일별데이터'!$E:$E,'일별데이터'!$B:$B,$G$1,'일별데이터'!$A:$A,$A11)</f>
        <v/>
      </c>
    </row>
    <row r="12">
      <c r="A12" s="23">
        <f>IFERROR(MAX('일별데이터'!$A:$A),TODAY())-30</f>
        <v/>
      </c>
      <c r="B12" s="18">
        <f>IFERROR(SUMIFS('일별데이터'!$I:$I,'일별데이터'!$B:$B,$G$1,'일별데이터'!$A:$A,$A12)/SUMIFS('일별데이터'!$E:$E,'일별데이터'!$B:$B,$G$1,'일별데이터'!$A:$A,$A12),NA())</f>
        <v/>
      </c>
      <c r="C12" s="18">
        <f>IFERROR(AVERAGEIFS('일별데이터'!$J:$J,'일별데이터'!$B:$B,$G$1,'일별데이터'!$A:$A,$A12)*'계산기'!$C$11,NA())</f>
        <v/>
      </c>
      <c r="D12" s="18">
        <f>IFERROR(AVERAGEIFS('일별데이터'!$N:$N,'일별데이터'!$B:$B,$G$1,'일별데이터'!$A:$A,$A12)*'계산기'!$C$11,NA())</f>
        <v/>
      </c>
      <c r="E12" s="18">
        <f>IFERROR(AVERAGEIFS('일별데이터'!$O:$O,'일별데이터'!$B:$B,$G$1,'일별데이터'!$A:$A,$A12)*'계산기'!$C$11*(1-IF('계산기'!$H$5&gt;0,INDEX('설정'!$G$4:$G$11,'계산기'!$H$5),0)/100),NA())</f>
        <v/>
      </c>
      <c r="F12" s="18">
        <f>IFERROR(C12-B12,NA())</f>
        <v/>
      </c>
      <c r="G12" s="24">
        <f>SUMIFS('일별데이터'!$E:$E,'일별데이터'!$B:$B,$G$1,'일별데이터'!$A:$A,$A12)</f>
        <v/>
      </c>
    </row>
    <row r="13">
      <c r="A13" s="23">
        <f>IFERROR(MAX('일별데이터'!$A:$A),TODAY())-29</f>
        <v/>
      </c>
      <c r="B13" s="18">
        <f>IFERROR(SUMIFS('일별데이터'!$I:$I,'일별데이터'!$B:$B,$G$1,'일별데이터'!$A:$A,$A13)/SUMIFS('일별데이터'!$E:$E,'일별데이터'!$B:$B,$G$1,'일별데이터'!$A:$A,$A13),NA())</f>
        <v/>
      </c>
      <c r="C13" s="18">
        <f>IFERROR(AVERAGEIFS('일별데이터'!$J:$J,'일별데이터'!$B:$B,$G$1,'일별데이터'!$A:$A,$A13)*'계산기'!$C$11,NA())</f>
        <v/>
      </c>
      <c r="D13" s="18">
        <f>IFERROR(AVERAGEIFS('일별데이터'!$N:$N,'일별데이터'!$B:$B,$G$1,'일별데이터'!$A:$A,$A13)*'계산기'!$C$11,NA())</f>
        <v/>
      </c>
      <c r="E13" s="18">
        <f>IFERROR(AVERAGEIFS('일별데이터'!$O:$O,'일별데이터'!$B:$B,$G$1,'일별데이터'!$A:$A,$A13)*'계산기'!$C$11*(1-IF('계산기'!$H$5&gt;0,INDEX('설정'!$G$4:$G$11,'계산기'!$H$5),0)/100),NA())</f>
        <v/>
      </c>
      <c r="F13" s="18">
        <f>IFERROR(C13-B13,NA())</f>
        <v/>
      </c>
      <c r="G13" s="24">
        <f>SUMIFS('일별데이터'!$E:$E,'일별데이터'!$B:$B,$G$1,'일별데이터'!$A:$A,$A13)</f>
        <v/>
      </c>
    </row>
    <row r="14">
      <c r="A14" s="23">
        <f>IFERROR(MAX('일별데이터'!$A:$A),TODAY())-28</f>
        <v/>
      </c>
      <c r="B14" s="18">
        <f>IFERROR(SUMIFS('일별데이터'!$I:$I,'일별데이터'!$B:$B,$G$1,'일별데이터'!$A:$A,$A14)/SUMIFS('일별데이터'!$E:$E,'일별데이터'!$B:$B,$G$1,'일별데이터'!$A:$A,$A14),NA())</f>
        <v/>
      </c>
      <c r="C14" s="18">
        <f>IFERROR(AVERAGEIFS('일별데이터'!$J:$J,'일별데이터'!$B:$B,$G$1,'일별데이터'!$A:$A,$A14)*'계산기'!$C$11,NA())</f>
        <v/>
      </c>
      <c r="D14" s="18">
        <f>IFERROR(AVERAGEIFS('일별데이터'!$N:$N,'일별데이터'!$B:$B,$G$1,'일별데이터'!$A:$A,$A14)*'계산기'!$C$11,NA())</f>
        <v/>
      </c>
      <c r="E14" s="18">
        <f>IFERROR(AVERAGEIFS('일별데이터'!$O:$O,'일별데이터'!$B:$B,$G$1,'일별데이터'!$A:$A,$A14)*'계산기'!$C$11*(1-IF('계산기'!$H$5&gt;0,INDEX('설정'!$G$4:$G$11,'계산기'!$H$5),0)/100),NA())</f>
        <v/>
      </c>
      <c r="F14" s="18">
        <f>IFERROR(C14-B14,NA())</f>
        <v/>
      </c>
      <c r="G14" s="24">
        <f>SUMIFS('일별데이터'!$E:$E,'일별데이터'!$B:$B,$G$1,'일별데이터'!$A:$A,$A14)</f>
        <v/>
      </c>
    </row>
    <row r="15">
      <c r="A15" s="23">
        <f>IFERROR(MAX('일별데이터'!$A:$A),TODAY())-27</f>
        <v/>
      </c>
      <c r="B15" s="18">
        <f>IFERROR(SUMIFS('일별데이터'!$I:$I,'일별데이터'!$B:$B,$G$1,'일별데이터'!$A:$A,$A15)/SUMIFS('일별데이터'!$E:$E,'일별데이터'!$B:$B,$G$1,'일별데이터'!$A:$A,$A15),NA())</f>
        <v/>
      </c>
      <c r="C15" s="18">
        <f>IFERROR(AVERAGEIFS('일별데이터'!$J:$J,'일별데이터'!$B:$B,$G$1,'일별데이터'!$A:$A,$A15)*'계산기'!$C$11,NA())</f>
        <v/>
      </c>
      <c r="D15" s="18">
        <f>IFERROR(AVERAGEIFS('일별데이터'!$N:$N,'일별데이터'!$B:$B,$G$1,'일별데이터'!$A:$A,$A15)*'계산기'!$C$11,NA())</f>
        <v/>
      </c>
      <c r="E15" s="18">
        <f>IFERROR(AVERAGEIFS('일별데이터'!$O:$O,'일별데이터'!$B:$B,$G$1,'일별데이터'!$A:$A,$A15)*'계산기'!$C$11*(1-IF('계산기'!$H$5&gt;0,INDEX('설정'!$G$4:$G$11,'계산기'!$H$5),0)/100),NA())</f>
        <v/>
      </c>
      <c r="F15" s="18">
        <f>IFERROR(C15-B15,NA())</f>
        <v/>
      </c>
      <c r="G15" s="24">
        <f>SUMIFS('일별데이터'!$E:$E,'일별데이터'!$B:$B,$G$1,'일별데이터'!$A:$A,$A15)</f>
        <v/>
      </c>
    </row>
    <row r="16">
      <c r="A16" s="23">
        <f>IFERROR(MAX('일별데이터'!$A:$A),TODAY())-26</f>
        <v/>
      </c>
      <c r="B16" s="18">
        <f>IFERROR(SUMIFS('일별데이터'!$I:$I,'일별데이터'!$B:$B,$G$1,'일별데이터'!$A:$A,$A16)/SUMIFS('일별데이터'!$E:$E,'일별데이터'!$B:$B,$G$1,'일별데이터'!$A:$A,$A16),NA())</f>
        <v/>
      </c>
      <c r="C16" s="18">
        <f>IFERROR(AVERAGEIFS('일별데이터'!$J:$J,'일별데이터'!$B:$B,$G$1,'일별데이터'!$A:$A,$A16)*'계산기'!$C$11,NA())</f>
        <v/>
      </c>
      <c r="D16" s="18">
        <f>IFERROR(AVERAGEIFS('일별데이터'!$N:$N,'일별데이터'!$B:$B,$G$1,'일별데이터'!$A:$A,$A16)*'계산기'!$C$11,NA())</f>
        <v/>
      </c>
      <c r="E16" s="18">
        <f>IFERROR(AVERAGEIFS('일별데이터'!$O:$O,'일별데이터'!$B:$B,$G$1,'일별데이터'!$A:$A,$A16)*'계산기'!$C$11*(1-IF('계산기'!$H$5&gt;0,INDEX('설정'!$G$4:$G$11,'계산기'!$H$5),0)/100),NA())</f>
        <v/>
      </c>
      <c r="F16" s="18">
        <f>IFERROR(C16-B16,NA())</f>
        <v/>
      </c>
      <c r="G16" s="24">
        <f>SUMIFS('일별데이터'!$E:$E,'일별데이터'!$B:$B,$G$1,'일별데이터'!$A:$A,$A16)</f>
        <v/>
      </c>
    </row>
    <row r="17">
      <c r="A17" s="23">
        <f>IFERROR(MAX('일별데이터'!$A:$A),TODAY())-25</f>
        <v/>
      </c>
      <c r="B17" s="18">
        <f>IFERROR(SUMIFS('일별데이터'!$I:$I,'일별데이터'!$B:$B,$G$1,'일별데이터'!$A:$A,$A17)/SUMIFS('일별데이터'!$E:$E,'일별데이터'!$B:$B,$G$1,'일별데이터'!$A:$A,$A17),NA())</f>
        <v/>
      </c>
      <c r="C17" s="18">
        <f>IFERROR(AVERAGEIFS('일별데이터'!$J:$J,'일별데이터'!$B:$B,$G$1,'일별데이터'!$A:$A,$A17)*'계산기'!$C$11,NA())</f>
        <v/>
      </c>
      <c r="D17" s="18">
        <f>IFERROR(AVERAGEIFS('일별데이터'!$N:$N,'일별데이터'!$B:$B,$G$1,'일별데이터'!$A:$A,$A17)*'계산기'!$C$11,NA())</f>
        <v/>
      </c>
      <c r="E17" s="18">
        <f>IFERROR(AVERAGEIFS('일별데이터'!$O:$O,'일별데이터'!$B:$B,$G$1,'일별데이터'!$A:$A,$A17)*'계산기'!$C$11*(1-IF('계산기'!$H$5&gt;0,INDEX('설정'!$G$4:$G$11,'계산기'!$H$5),0)/100),NA())</f>
        <v/>
      </c>
      <c r="F17" s="18">
        <f>IFERROR(C17-B17,NA())</f>
        <v/>
      </c>
      <c r="G17" s="24">
        <f>SUMIFS('일별데이터'!$E:$E,'일별데이터'!$B:$B,$G$1,'일별데이터'!$A:$A,$A17)</f>
        <v/>
      </c>
    </row>
    <row r="18">
      <c r="A18" s="23">
        <f>IFERROR(MAX('일별데이터'!$A:$A),TODAY())-24</f>
        <v/>
      </c>
      <c r="B18" s="18">
        <f>IFERROR(SUMIFS('일별데이터'!$I:$I,'일별데이터'!$B:$B,$G$1,'일별데이터'!$A:$A,$A18)/SUMIFS('일별데이터'!$E:$E,'일별데이터'!$B:$B,$G$1,'일별데이터'!$A:$A,$A18),NA())</f>
        <v/>
      </c>
      <c r="C18" s="18">
        <f>IFERROR(AVERAGEIFS('일별데이터'!$J:$J,'일별데이터'!$B:$B,$G$1,'일별데이터'!$A:$A,$A18)*'계산기'!$C$11,NA())</f>
        <v/>
      </c>
      <c r="D18" s="18">
        <f>IFERROR(AVERAGEIFS('일별데이터'!$N:$N,'일별데이터'!$B:$B,$G$1,'일별데이터'!$A:$A,$A18)*'계산기'!$C$11,NA())</f>
        <v/>
      </c>
      <c r="E18" s="18">
        <f>IFERROR(AVERAGEIFS('일별데이터'!$O:$O,'일별데이터'!$B:$B,$G$1,'일별데이터'!$A:$A,$A18)*'계산기'!$C$11*(1-IF('계산기'!$H$5&gt;0,INDEX('설정'!$G$4:$G$11,'계산기'!$H$5),0)/100),NA())</f>
        <v/>
      </c>
      <c r="F18" s="18">
        <f>IFERROR(C18-B18,NA())</f>
        <v/>
      </c>
      <c r="G18" s="24">
        <f>SUMIFS('일별데이터'!$E:$E,'일별데이터'!$B:$B,$G$1,'일별데이터'!$A:$A,$A18)</f>
        <v/>
      </c>
    </row>
    <row r="19">
      <c r="A19" s="23">
        <f>IFERROR(MAX('일별데이터'!$A:$A),TODAY())-23</f>
        <v/>
      </c>
      <c r="B19" s="18">
        <f>IFERROR(SUMIFS('일별데이터'!$I:$I,'일별데이터'!$B:$B,$G$1,'일별데이터'!$A:$A,$A19)/SUMIFS('일별데이터'!$E:$E,'일별데이터'!$B:$B,$G$1,'일별데이터'!$A:$A,$A19),NA())</f>
        <v/>
      </c>
      <c r="C19" s="18">
        <f>IFERROR(AVERAGEIFS('일별데이터'!$J:$J,'일별데이터'!$B:$B,$G$1,'일별데이터'!$A:$A,$A19)*'계산기'!$C$11,NA())</f>
        <v/>
      </c>
      <c r="D19" s="18">
        <f>IFERROR(AVERAGEIFS('일별데이터'!$N:$N,'일별데이터'!$B:$B,$G$1,'일별데이터'!$A:$A,$A19)*'계산기'!$C$11,NA())</f>
        <v/>
      </c>
      <c r="E19" s="18">
        <f>IFERROR(AVERAGEIFS('일별데이터'!$O:$O,'일별데이터'!$B:$B,$G$1,'일별데이터'!$A:$A,$A19)*'계산기'!$C$11*(1-IF('계산기'!$H$5&gt;0,INDEX('설정'!$G$4:$G$11,'계산기'!$H$5),0)/100),NA())</f>
        <v/>
      </c>
      <c r="F19" s="18">
        <f>IFERROR(C19-B19,NA())</f>
        <v/>
      </c>
      <c r="G19" s="24">
        <f>SUMIFS('일별데이터'!$E:$E,'일별데이터'!$B:$B,$G$1,'일별데이터'!$A:$A,$A19)</f>
        <v/>
      </c>
    </row>
    <row r="20">
      <c r="A20" s="23">
        <f>IFERROR(MAX('일별데이터'!$A:$A),TODAY())-22</f>
        <v/>
      </c>
      <c r="B20" s="18">
        <f>IFERROR(SUMIFS('일별데이터'!$I:$I,'일별데이터'!$B:$B,$G$1,'일별데이터'!$A:$A,$A20)/SUMIFS('일별데이터'!$E:$E,'일별데이터'!$B:$B,$G$1,'일별데이터'!$A:$A,$A20),NA())</f>
        <v/>
      </c>
      <c r="C20" s="18">
        <f>IFERROR(AVERAGEIFS('일별데이터'!$J:$J,'일별데이터'!$B:$B,$G$1,'일별데이터'!$A:$A,$A20)*'계산기'!$C$11,NA())</f>
        <v/>
      </c>
      <c r="D20" s="18">
        <f>IFERROR(AVERAGEIFS('일별데이터'!$N:$N,'일별데이터'!$B:$B,$G$1,'일별데이터'!$A:$A,$A20)*'계산기'!$C$11,NA())</f>
        <v/>
      </c>
      <c r="E20" s="18">
        <f>IFERROR(AVERAGEIFS('일별데이터'!$O:$O,'일별데이터'!$B:$B,$G$1,'일별데이터'!$A:$A,$A20)*'계산기'!$C$11*(1-IF('계산기'!$H$5&gt;0,INDEX('설정'!$G$4:$G$11,'계산기'!$H$5),0)/100),NA())</f>
        <v/>
      </c>
      <c r="F20" s="18">
        <f>IFERROR(C20-B20,NA())</f>
        <v/>
      </c>
      <c r="G20" s="24">
        <f>SUMIFS('일별데이터'!$E:$E,'일별데이터'!$B:$B,$G$1,'일별데이터'!$A:$A,$A20)</f>
        <v/>
      </c>
    </row>
    <row r="21">
      <c r="A21" s="23">
        <f>IFERROR(MAX('일별데이터'!$A:$A),TODAY())-21</f>
        <v/>
      </c>
      <c r="B21" s="18">
        <f>IFERROR(SUMIFS('일별데이터'!$I:$I,'일별데이터'!$B:$B,$G$1,'일별데이터'!$A:$A,$A21)/SUMIFS('일별데이터'!$E:$E,'일별데이터'!$B:$B,$G$1,'일별데이터'!$A:$A,$A21),NA())</f>
        <v/>
      </c>
      <c r="C21" s="18">
        <f>IFERROR(AVERAGEIFS('일별데이터'!$J:$J,'일별데이터'!$B:$B,$G$1,'일별데이터'!$A:$A,$A21)*'계산기'!$C$11,NA())</f>
        <v/>
      </c>
      <c r="D21" s="18">
        <f>IFERROR(AVERAGEIFS('일별데이터'!$N:$N,'일별데이터'!$B:$B,$G$1,'일별데이터'!$A:$A,$A21)*'계산기'!$C$11,NA())</f>
        <v/>
      </c>
      <c r="E21" s="18">
        <f>IFERROR(AVERAGEIFS('일별데이터'!$O:$O,'일별데이터'!$B:$B,$G$1,'일별데이터'!$A:$A,$A21)*'계산기'!$C$11*(1-IF('계산기'!$H$5&gt;0,INDEX('설정'!$G$4:$G$11,'계산기'!$H$5),0)/100),NA())</f>
        <v/>
      </c>
      <c r="F21" s="18">
        <f>IFERROR(C21-B21,NA())</f>
        <v/>
      </c>
      <c r="G21" s="24">
        <f>SUMIFS('일별데이터'!$E:$E,'일별데이터'!$B:$B,$G$1,'일별데이터'!$A:$A,$A21)</f>
        <v/>
      </c>
    </row>
    <row r="22">
      <c r="A22" s="23">
        <f>IFERROR(MAX('일별데이터'!$A:$A),TODAY())-20</f>
        <v/>
      </c>
      <c r="B22" s="18">
        <f>IFERROR(SUMIFS('일별데이터'!$I:$I,'일별데이터'!$B:$B,$G$1,'일별데이터'!$A:$A,$A22)/SUMIFS('일별데이터'!$E:$E,'일별데이터'!$B:$B,$G$1,'일별데이터'!$A:$A,$A22),NA())</f>
        <v/>
      </c>
      <c r="C22" s="18">
        <f>IFERROR(AVERAGEIFS('일별데이터'!$J:$J,'일별데이터'!$B:$B,$G$1,'일별데이터'!$A:$A,$A22)*'계산기'!$C$11,NA())</f>
        <v/>
      </c>
      <c r="D22" s="18">
        <f>IFERROR(AVERAGEIFS('일별데이터'!$N:$N,'일별데이터'!$B:$B,$G$1,'일별데이터'!$A:$A,$A22)*'계산기'!$C$11,NA())</f>
        <v/>
      </c>
      <c r="E22" s="18">
        <f>IFERROR(AVERAGEIFS('일별데이터'!$O:$O,'일별데이터'!$B:$B,$G$1,'일별데이터'!$A:$A,$A22)*'계산기'!$C$11*(1-IF('계산기'!$H$5&gt;0,INDEX('설정'!$G$4:$G$11,'계산기'!$H$5),0)/100),NA())</f>
        <v/>
      </c>
      <c r="F22" s="18">
        <f>IFERROR(C22-B22,NA())</f>
        <v/>
      </c>
      <c r="G22" s="24">
        <f>SUMIFS('일별데이터'!$E:$E,'일별데이터'!$B:$B,$G$1,'일별데이터'!$A:$A,$A22)</f>
        <v/>
      </c>
    </row>
    <row r="23">
      <c r="A23" s="23">
        <f>IFERROR(MAX('일별데이터'!$A:$A),TODAY())-19</f>
        <v/>
      </c>
      <c r="B23" s="18">
        <f>IFERROR(SUMIFS('일별데이터'!$I:$I,'일별데이터'!$B:$B,$G$1,'일별데이터'!$A:$A,$A23)/SUMIFS('일별데이터'!$E:$E,'일별데이터'!$B:$B,$G$1,'일별데이터'!$A:$A,$A23),NA())</f>
        <v/>
      </c>
      <c r="C23" s="18">
        <f>IFERROR(AVERAGEIFS('일별데이터'!$J:$J,'일별데이터'!$B:$B,$G$1,'일별데이터'!$A:$A,$A23)*'계산기'!$C$11,NA())</f>
        <v/>
      </c>
      <c r="D23" s="18">
        <f>IFERROR(AVERAGEIFS('일별데이터'!$N:$N,'일별데이터'!$B:$B,$G$1,'일별데이터'!$A:$A,$A23)*'계산기'!$C$11,NA())</f>
        <v/>
      </c>
      <c r="E23" s="18">
        <f>IFERROR(AVERAGEIFS('일별데이터'!$O:$O,'일별데이터'!$B:$B,$G$1,'일별데이터'!$A:$A,$A23)*'계산기'!$C$11*(1-IF('계산기'!$H$5&gt;0,INDEX('설정'!$G$4:$G$11,'계산기'!$H$5),0)/100),NA())</f>
        <v/>
      </c>
      <c r="F23" s="18">
        <f>IFERROR(C23-B23,NA())</f>
        <v/>
      </c>
      <c r="G23" s="24">
        <f>SUMIFS('일별데이터'!$E:$E,'일별데이터'!$B:$B,$G$1,'일별데이터'!$A:$A,$A23)</f>
        <v/>
      </c>
    </row>
    <row r="24">
      <c r="A24" s="23">
        <f>IFERROR(MAX('일별데이터'!$A:$A),TODAY())-18</f>
        <v/>
      </c>
      <c r="B24" s="18">
        <f>IFERROR(SUMIFS('일별데이터'!$I:$I,'일별데이터'!$B:$B,$G$1,'일별데이터'!$A:$A,$A24)/SUMIFS('일별데이터'!$E:$E,'일별데이터'!$B:$B,$G$1,'일별데이터'!$A:$A,$A24),NA())</f>
        <v/>
      </c>
      <c r="C24" s="18">
        <f>IFERROR(AVERAGEIFS('일별데이터'!$J:$J,'일별데이터'!$B:$B,$G$1,'일별데이터'!$A:$A,$A24)*'계산기'!$C$11,NA())</f>
        <v/>
      </c>
      <c r="D24" s="18">
        <f>IFERROR(AVERAGEIFS('일별데이터'!$N:$N,'일별데이터'!$B:$B,$G$1,'일별데이터'!$A:$A,$A24)*'계산기'!$C$11,NA())</f>
        <v/>
      </c>
      <c r="E24" s="18">
        <f>IFERROR(AVERAGEIFS('일별데이터'!$O:$O,'일별데이터'!$B:$B,$G$1,'일별데이터'!$A:$A,$A24)*'계산기'!$C$11*(1-IF('계산기'!$H$5&gt;0,INDEX('설정'!$G$4:$G$11,'계산기'!$H$5),0)/100),NA())</f>
        <v/>
      </c>
      <c r="F24" s="18">
        <f>IFERROR(C24-B24,NA())</f>
        <v/>
      </c>
      <c r="G24" s="24">
        <f>SUMIFS('일별데이터'!$E:$E,'일별데이터'!$B:$B,$G$1,'일별데이터'!$A:$A,$A24)</f>
        <v/>
      </c>
    </row>
    <row r="25">
      <c r="A25" s="23">
        <f>IFERROR(MAX('일별데이터'!$A:$A),TODAY())-17</f>
        <v/>
      </c>
      <c r="B25" s="18">
        <f>IFERROR(SUMIFS('일별데이터'!$I:$I,'일별데이터'!$B:$B,$G$1,'일별데이터'!$A:$A,$A25)/SUMIFS('일별데이터'!$E:$E,'일별데이터'!$B:$B,$G$1,'일별데이터'!$A:$A,$A25),NA())</f>
        <v/>
      </c>
      <c r="C25" s="18">
        <f>IFERROR(AVERAGEIFS('일별데이터'!$J:$J,'일별데이터'!$B:$B,$G$1,'일별데이터'!$A:$A,$A25)*'계산기'!$C$11,NA())</f>
        <v/>
      </c>
      <c r="D25" s="18">
        <f>IFERROR(AVERAGEIFS('일별데이터'!$N:$N,'일별데이터'!$B:$B,$G$1,'일별데이터'!$A:$A,$A25)*'계산기'!$C$11,NA())</f>
        <v/>
      </c>
      <c r="E25" s="18">
        <f>IFERROR(AVERAGEIFS('일별데이터'!$O:$O,'일별데이터'!$B:$B,$G$1,'일별데이터'!$A:$A,$A25)*'계산기'!$C$11*(1-IF('계산기'!$H$5&gt;0,INDEX('설정'!$G$4:$G$11,'계산기'!$H$5),0)/100),NA())</f>
        <v/>
      </c>
      <c r="F25" s="18">
        <f>IFERROR(C25-B25,NA())</f>
        <v/>
      </c>
      <c r="G25" s="24">
        <f>SUMIFS('일별데이터'!$E:$E,'일별데이터'!$B:$B,$G$1,'일별데이터'!$A:$A,$A25)</f>
        <v/>
      </c>
    </row>
    <row r="26">
      <c r="A26" s="23">
        <f>IFERROR(MAX('일별데이터'!$A:$A),TODAY())-16</f>
        <v/>
      </c>
      <c r="B26" s="18">
        <f>IFERROR(SUMIFS('일별데이터'!$I:$I,'일별데이터'!$B:$B,$G$1,'일별데이터'!$A:$A,$A26)/SUMIFS('일별데이터'!$E:$E,'일별데이터'!$B:$B,$G$1,'일별데이터'!$A:$A,$A26),NA())</f>
        <v/>
      </c>
      <c r="C26" s="18">
        <f>IFERROR(AVERAGEIFS('일별데이터'!$J:$J,'일별데이터'!$B:$B,$G$1,'일별데이터'!$A:$A,$A26)*'계산기'!$C$11,NA())</f>
        <v/>
      </c>
      <c r="D26" s="18">
        <f>IFERROR(AVERAGEIFS('일별데이터'!$N:$N,'일별데이터'!$B:$B,$G$1,'일별데이터'!$A:$A,$A26)*'계산기'!$C$11,NA())</f>
        <v/>
      </c>
      <c r="E26" s="18">
        <f>IFERROR(AVERAGEIFS('일별데이터'!$O:$O,'일별데이터'!$B:$B,$G$1,'일별데이터'!$A:$A,$A26)*'계산기'!$C$11*(1-IF('계산기'!$H$5&gt;0,INDEX('설정'!$G$4:$G$11,'계산기'!$H$5),0)/100),NA())</f>
        <v/>
      </c>
      <c r="F26" s="18">
        <f>IFERROR(C26-B26,NA())</f>
        <v/>
      </c>
      <c r="G26" s="24">
        <f>SUMIFS('일별데이터'!$E:$E,'일별데이터'!$B:$B,$G$1,'일별데이터'!$A:$A,$A26)</f>
        <v/>
      </c>
    </row>
    <row r="27">
      <c r="A27" s="23">
        <f>IFERROR(MAX('일별데이터'!$A:$A),TODAY())-15</f>
        <v/>
      </c>
      <c r="B27" s="18">
        <f>IFERROR(SUMIFS('일별데이터'!$I:$I,'일별데이터'!$B:$B,$G$1,'일별데이터'!$A:$A,$A27)/SUMIFS('일별데이터'!$E:$E,'일별데이터'!$B:$B,$G$1,'일별데이터'!$A:$A,$A27),NA())</f>
        <v/>
      </c>
      <c r="C27" s="18">
        <f>IFERROR(AVERAGEIFS('일별데이터'!$J:$J,'일별데이터'!$B:$B,$G$1,'일별데이터'!$A:$A,$A27)*'계산기'!$C$11,NA())</f>
        <v/>
      </c>
      <c r="D27" s="18">
        <f>IFERROR(AVERAGEIFS('일별데이터'!$N:$N,'일별데이터'!$B:$B,$G$1,'일별데이터'!$A:$A,$A27)*'계산기'!$C$11,NA())</f>
        <v/>
      </c>
      <c r="E27" s="18">
        <f>IFERROR(AVERAGEIFS('일별데이터'!$O:$O,'일별데이터'!$B:$B,$G$1,'일별데이터'!$A:$A,$A27)*'계산기'!$C$11*(1-IF('계산기'!$H$5&gt;0,INDEX('설정'!$G$4:$G$11,'계산기'!$H$5),0)/100),NA())</f>
        <v/>
      </c>
      <c r="F27" s="18">
        <f>IFERROR(C27-B27,NA())</f>
        <v/>
      </c>
      <c r="G27" s="24">
        <f>SUMIFS('일별데이터'!$E:$E,'일별데이터'!$B:$B,$G$1,'일별데이터'!$A:$A,$A27)</f>
        <v/>
      </c>
    </row>
    <row r="28">
      <c r="A28" s="23">
        <f>IFERROR(MAX('일별데이터'!$A:$A),TODAY())-14</f>
        <v/>
      </c>
      <c r="B28" s="18">
        <f>IFERROR(SUMIFS('일별데이터'!$I:$I,'일별데이터'!$B:$B,$G$1,'일별데이터'!$A:$A,$A28)/SUMIFS('일별데이터'!$E:$E,'일별데이터'!$B:$B,$G$1,'일별데이터'!$A:$A,$A28),NA())</f>
        <v/>
      </c>
      <c r="C28" s="18">
        <f>IFERROR(AVERAGEIFS('일별데이터'!$J:$J,'일별데이터'!$B:$B,$G$1,'일별데이터'!$A:$A,$A28)*'계산기'!$C$11,NA())</f>
        <v/>
      </c>
      <c r="D28" s="18">
        <f>IFERROR(AVERAGEIFS('일별데이터'!$N:$N,'일별데이터'!$B:$B,$G$1,'일별데이터'!$A:$A,$A28)*'계산기'!$C$11,NA())</f>
        <v/>
      </c>
      <c r="E28" s="18">
        <f>IFERROR(AVERAGEIFS('일별데이터'!$O:$O,'일별데이터'!$B:$B,$G$1,'일별데이터'!$A:$A,$A28)*'계산기'!$C$11*(1-IF('계산기'!$H$5&gt;0,INDEX('설정'!$G$4:$G$11,'계산기'!$H$5),0)/100),NA())</f>
        <v/>
      </c>
      <c r="F28" s="18">
        <f>IFERROR(C28-B28,NA())</f>
        <v/>
      </c>
      <c r="G28" s="24">
        <f>SUMIFS('일별데이터'!$E:$E,'일별데이터'!$B:$B,$G$1,'일별데이터'!$A:$A,$A28)</f>
        <v/>
      </c>
    </row>
    <row r="29">
      <c r="A29" s="23">
        <f>IFERROR(MAX('일별데이터'!$A:$A),TODAY())-13</f>
        <v/>
      </c>
      <c r="B29" s="18">
        <f>IFERROR(SUMIFS('일별데이터'!$I:$I,'일별데이터'!$B:$B,$G$1,'일별데이터'!$A:$A,$A29)/SUMIFS('일별데이터'!$E:$E,'일별데이터'!$B:$B,$G$1,'일별데이터'!$A:$A,$A29),NA())</f>
        <v/>
      </c>
      <c r="C29" s="18">
        <f>IFERROR(AVERAGEIFS('일별데이터'!$J:$J,'일별데이터'!$B:$B,$G$1,'일별데이터'!$A:$A,$A29)*'계산기'!$C$11,NA())</f>
        <v/>
      </c>
      <c r="D29" s="18">
        <f>IFERROR(AVERAGEIFS('일별데이터'!$N:$N,'일별데이터'!$B:$B,$G$1,'일별데이터'!$A:$A,$A29)*'계산기'!$C$11,NA())</f>
        <v/>
      </c>
      <c r="E29" s="18">
        <f>IFERROR(AVERAGEIFS('일별데이터'!$O:$O,'일별데이터'!$B:$B,$G$1,'일별데이터'!$A:$A,$A29)*'계산기'!$C$11*(1-IF('계산기'!$H$5&gt;0,INDEX('설정'!$G$4:$G$11,'계산기'!$H$5),0)/100),NA())</f>
        <v/>
      </c>
      <c r="F29" s="18">
        <f>IFERROR(C29-B29,NA())</f>
        <v/>
      </c>
      <c r="G29" s="24">
        <f>SUMIFS('일별데이터'!$E:$E,'일별데이터'!$B:$B,$G$1,'일별데이터'!$A:$A,$A29)</f>
        <v/>
      </c>
    </row>
    <row r="30">
      <c r="A30" s="23">
        <f>IFERROR(MAX('일별데이터'!$A:$A),TODAY())-12</f>
        <v/>
      </c>
      <c r="B30" s="18">
        <f>IFERROR(SUMIFS('일별데이터'!$I:$I,'일별데이터'!$B:$B,$G$1,'일별데이터'!$A:$A,$A30)/SUMIFS('일별데이터'!$E:$E,'일별데이터'!$B:$B,$G$1,'일별데이터'!$A:$A,$A30),NA())</f>
        <v/>
      </c>
      <c r="C30" s="18">
        <f>IFERROR(AVERAGEIFS('일별데이터'!$J:$J,'일별데이터'!$B:$B,$G$1,'일별데이터'!$A:$A,$A30)*'계산기'!$C$11,NA())</f>
        <v/>
      </c>
      <c r="D30" s="18">
        <f>IFERROR(AVERAGEIFS('일별데이터'!$N:$N,'일별데이터'!$B:$B,$G$1,'일별데이터'!$A:$A,$A30)*'계산기'!$C$11,NA())</f>
        <v/>
      </c>
      <c r="E30" s="18">
        <f>IFERROR(AVERAGEIFS('일별데이터'!$O:$O,'일별데이터'!$B:$B,$G$1,'일별데이터'!$A:$A,$A30)*'계산기'!$C$11*(1-IF('계산기'!$H$5&gt;0,INDEX('설정'!$G$4:$G$11,'계산기'!$H$5),0)/100),NA())</f>
        <v/>
      </c>
      <c r="F30" s="18">
        <f>IFERROR(C30-B30,NA())</f>
        <v/>
      </c>
      <c r="G30" s="24">
        <f>SUMIFS('일별데이터'!$E:$E,'일별데이터'!$B:$B,$G$1,'일별데이터'!$A:$A,$A30)</f>
        <v/>
      </c>
    </row>
    <row r="31">
      <c r="A31" s="23">
        <f>IFERROR(MAX('일별데이터'!$A:$A),TODAY())-11</f>
        <v/>
      </c>
      <c r="B31" s="18">
        <f>IFERROR(SUMIFS('일별데이터'!$I:$I,'일별데이터'!$B:$B,$G$1,'일별데이터'!$A:$A,$A31)/SUMIFS('일별데이터'!$E:$E,'일별데이터'!$B:$B,$G$1,'일별데이터'!$A:$A,$A31),NA())</f>
        <v/>
      </c>
      <c r="C31" s="18">
        <f>IFERROR(AVERAGEIFS('일별데이터'!$J:$J,'일별데이터'!$B:$B,$G$1,'일별데이터'!$A:$A,$A31)*'계산기'!$C$11,NA())</f>
        <v/>
      </c>
      <c r="D31" s="18">
        <f>IFERROR(AVERAGEIFS('일별데이터'!$N:$N,'일별데이터'!$B:$B,$G$1,'일별데이터'!$A:$A,$A31)*'계산기'!$C$11,NA())</f>
        <v/>
      </c>
      <c r="E31" s="18">
        <f>IFERROR(AVERAGEIFS('일별데이터'!$O:$O,'일별데이터'!$B:$B,$G$1,'일별데이터'!$A:$A,$A31)*'계산기'!$C$11*(1-IF('계산기'!$H$5&gt;0,INDEX('설정'!$G$4:$G$11,'계산기'!$H$5),0)/100),NA())</f>
        <v/>
      </c>
      <c r="F31" s="18">
        <f>IFERROR(C31-B31,NA())</f>
        <v/>
      </c>
      <c r="G31" s="24">
        <f>SUMIFS('일별데이터'!$E:$E,'일별데이터'!$B:$B,$G$1,'일별데이터'!$A:$A,$A31)</f>
        <v/>
      </c>
    </row>
    <row r="32">
      <c r="A32" s="23">
        <f>IFERROR(MAX('일별데이터'!$A:$A),TODAY())-10</f>
        <v/>
      </c>
      <c r="B32" s="18">
        <f>IFERROR(SUMIFS('일별데이터'!$I:$I,'일별데이터'!$B:$B,$G$1,'일별데이터'!$A:$A,$A32)/SUMIFS('일별데이터'!$E:$E,'일별데이터'!$B:$B,$G$1,'일별데이터'!$A:$A,$A32),NA())</f>
        <v/>
      </c>
      <c r="C32" s="18">
        <f>IFERROR(AVERAGEIFS('일별데이터'!$J:$J,'일별데이터'!$B:$B,$G$1,'일별데이터'!$A:$A,$A32)*'계산기'!$C$11,NA())</f>
        <v/>
      </c>
      <c r="D32" s="18">
        <f>IFERROR(AVERAGEIFS('일별데이터'!$N:$N,'일별데이터'!$B:$B,$G$1,'일별데이터'!$A:$A,$A32)*'계산기'!$C$11,NA())</f>
        <v/>
      </c>
      <c r="E32" s="18">
        <f>IFERROR(AVERAGEIFS('일별데이터'!$O:$O,'일별데이터'!$B:$B,$G$1,'일별데이터'!$A:$A,$A32)*'계산기'!$C$11*(1-IF('계산기'!$H$5&gt;0,INDEX('설정'!$G$4:$G$11,'계산기'!$H$5),0)/100),NA())</f>
        <v/>
      </c>
      <c r="F32" s="18">
        <f>IFERROR(C32-B32,NA())</f>
        <v/>
      </c>
      <c r="G32" s="24">
        <f>SUMIFS('일별데이터'!$E:$E,'일별데이터'!$B:$B,$G$1,'일별데이터'!$A:$A,$A32)</f>
        <v/>
      </c>
    </row>
    <row r="33">
      <c r="A33" s="23">
        <f>IFERROR(MAX('일별데이터'!$A:$A),TODAY())-9</f>
        <v/>
      </c>
      <c r="B33" s="18">
        <f>IFERROR(SUMIFS('일별데이터'!$I:$I,'일별데이터'!$B:$B,$G$1,'일별데이터'!$A:$A,$A33)/SUMIFS('일별데이터'!$E:$E,'일별데이터'!$B:$B,$G$1,'일별데이터'!$A:$A,$A33),NA())</f>
        <v/>
      </c>
      <c r="C33" s="18">
        <f>IFERROR(AVERAGEIFS('일별데이터'!$J:$J,'일별데이터'!$B:$B,$G$1,'일별데이터'!$A:$A,$A33)*'계산기'!$C$11,NA())</f>
        <v/>
      </c>
      <c r="D33" s="18">
        <f>IFERROR(AVERAGEIFS('일별데이터'!$N:$N,'일별데이터'!$B:$B,$G$1,'일별데이터'!$A:$A,$A33)*'계산기'!$C$11,NA())</f>
        <v/>
      </c>
      <c r="E33" s="18">
        <f>IFERROR(AVERAGEIFS('일별데이터'!$O:$O,'일별데이터'!$B:$B,$G$1,'일별데이터'!$A:$A,$A33)*'계산기'!$C$11*(1-IF('계산기'!$H$5&gt;0,INDEX('설정'!$G$4:$G$11,'계산기'!$H$5),0)/100),NA())</f>
        <v/>
      </c>
      <c r="F33" s="18">
        <f>IFERROR(C33-B33,NA())</f>
        <v/>
      </c>
      <c r="G33" s="24">
        <f>SUMIFS('일별데이터'!$E:$E,'일별데이터'!$B:$B,$G$1,'일별데이터'!$A:$A,$A33)</f>
        <v/>
      </c>
    </row>
    <row r="34">
      <c r="A34" s="23">
        <f>IFERROR(MAX('일별데이터'!$A:$A),TODAY())-8</f>
        <v/>
      </c>
      <c r="B34" s="18">
        <f>IFERROR(SUMIFS('일별데이터'!$I:$I,'일별데이터'!$B:$B,$G$1,'일별데이터'!$A:$A,$A34)/SUMIFS('일별데이터'!$E:$E,'일별데이터'!$B:$B,$G$1,'일별데이터'!$A:$A,$A34),NA())</f>
        <v/>
      </c>
      <c r="C34" s="18">
        <f>IFERROR(AVERAGEIFS('일별데이터'!$J:$J,'일별데이터'!$B:$B,$G$1,'일별데이터'!$A:$A,$A34)*'계산기'!$C$11,NA())</f>
        <v/>
      </c>
      <c r="D34" s="18">
        <f>IFERROR(AVERAGEIFS('일별데이터'!$N:$N,'일별데이터'!$B:$B,$G$1,'일별데이터'!$A:$A,$A34)*'계산기'!$C$11,NA())</f>
        <v/>
      </c>
      <c r="E34" s="18">
        <f>IFERROR(AVERAGEIFS('일별데이터'!$O:$O,'일별데이터'!$B:$B,$G$1,'일별데이터'!$A:$A,$A34)*'계산기'!$C$11*(1-IF('계산기'!$H$5&gt;0,INDEX('설정'!$G$4:$G$11,'계산기'!$H$5),0)/100),NA())</f>
        <v/>
      </c>
      <c r="F34" s="18">
        <f>IFERROR(C34-B34,NA())</f>
        <v/>
      </c>
      <c r="G34" s="24">
        <f>SUMIFS('일별데이터'!$E:$E,'일별데이터'!$B:$B,$G$1,'일별데이터'!$A:$A,$A34)</f>
        <v/>
      </c>
    </row>
    <row r="35">
      <c r="A35" s="23">
        <f>IFERROR(MAX('일별데이터'!$A:$A),TODAY())-7</f>
        <v/>
      </c>
      <c r="B35" s="18">
        <f>IFERROR(SUMIFS('일별데이터'!$I:$I,'일별데이터'!$B:$B,$G$1,'일별데이터'!$A:$A,$A35)/SUMIFS('일별데이터'!$E:$E,'일별데이터'!$B:$B,$G$1,'일별데이터'!$A:$A,$A35),NA())</f>
        <v/>
      </c>
      <c r="C35" s="18">
        <f>IFERROR(AVERAGEIFS('일별데이터'!$J:$J,'일별데이터'!$B:$B,$G$1,'일별데이터'!$A:$A,$A35)*'계산기'!$C$11,NA())</f>
        <v/>
      </c>
      <c r="D35" s="18">
        <f>IFERROR(AVERAGEIFS('일별데이터'!$N:$N,'일별데이터'!$B:$B,$G$1,'일별데이터'!$A:$A,$A35)*'계산기'!$C$11,NA())</f>
        <v/>
      </c>
      <c r="E35" s="18">
        <f>IFERROR(AVERAGEIFS('일별데이터'!$O:$O,'일별데이터'!$B:$B,$G$1,'일별데이터'!$A:$A,$A35)*'계산기'!$C$11*(1-IF('계산기'!$H$5&gt;0,INDEX('설정'!$G$4:$G$11,'계산기'!$H$5),0)/100),NA())</f>
        <v/>
      </c>
      <c r="F35" s="18">
        <f>IFERROR(C35-B35,NA())</f>
        <v/>
      </c>
      <c r="G35" s="24">
        <f>SUMIFS('일별데이터'!$E:$E,'일별데이터'!$B:$B,$G$1,'일별데이터'!$A:$A,$A35)</f>
        <v/>
      </c>
    </row>
    <row r="36">
      <c r="A36" s="23">
        <f>IFERROR(MAX('일별데이터'!$A:$A),TODAY())-6</f>
        <v/>
      </c>
      <c r="B36" s="18">
        <f>IFERROR(SUMIFS('일별데이터'!$I:$I,'일별데이터'!$B:$B,$G$1,'일별데이터'!$A:$A,$A36)/SUMIFS('일별데이터'!$E:$E,'일별데이터'!$B:$B,$G$1,'일별데이터'!$A:$A,$A36),NA())</f>
        <v/>
      </c>
      <c r="C36" s="18">
        <f>IFERROR(AVERAGEIFS('일별데이터'!$J:$J,'일별데이터'!$B:$B,$G$1,'일별데이터'!$A:$A,$A36)*'계산기'!$C$11,NA())</f>
        <v/>
      </c>
      <c r="D36" s="18">
        <f>IFERROR(AVERAGEIFS('일별데이터'!$N:$N,'일별데이터'!$B:$B,$G$1,'일별데이터'!$A:$A,$A36)*'계산기'!$C$11,NA())</f>
        <v/>
      </c>
      <c r="E36" s="18">
        <f>IFERROR(AVERAGEIFS('일별데이터'!$O:$O,'일별데이터'!$B:$B,$G$1,'일별데이터'!$A:$A,$A36)*'계산기'!$C$11*(1-IF('계산기'!$H$5&gt;0,INDEX('설정'!$G$4:$G$11,'계산기'!$H$5),0)/100),NA())</f>
        <v/>
      </c>
      <c r="F36" s="18">
        <f>IFERROR(C36-B36,NA())</f>
        <v/>
      </c>
      <c r="G36" s="24">
        <f>SUMIFS('일별데이터'!$E:$E,'일별데이터'!$B:$B,$G$1,'일별데이터'!$A:$A,$A36)</f>
        <v/>
      </c>
    </row>
    <row r="37">
      <c r="A37" s="23">
        <f>IFERROR(MAX('일별데이터'!$A:$A),TODAY())-5</f>
        <v/>
      </c>
      <c r="B37" s="18">
        <f>IFERROR(SUMIFS('일별데이터'!$I:$I,'일별데이터'!$B:$B,$G$1,'일별데이터'!$A:$A,$A37)/SUMIFS('일별데이터'!$E:$E,'일별데이터'!$B:$B,$G$1,'일별데이터'!$A:$A,$A37),NA())</f>
        <v/>
      </c>
      <c r="C37" s="18">
        <f>IFERROR(AVERAGEIFS('일별데이터'!$J:$J,'일별데이터'!$B:$B,$G$1,'일별데이터'!$A:$A,$A37)*'계산기'!$C$11,NA())</f>
        <v/>
      </c>
      <c r="D37" s="18">
        <f>IFERROR(AVERAGEIFS('일별데이터'!$N:$N,'일별데이터'!$B:$B,$G$1,'일별데이터'!$A:$A,$A37)*'계산기'!$C$11,NA())</f>
        <v/>
      </c>
      <c r="E37" s="18">
        <f>IFERROR(AVERAGEIFS('일별데이터'!$O:$O,'일별데이터'!$B:$B,$G$1,'일별데이터'!$A:$A,$A37)*'계산기'!$C$11*(1-IF('계산기'!$H$5&gt;0,INDEX('설정'!$G$4:$G$11,'계산기'!$H$5),0)/100),NA())</f>
        <v/>
      </c>
      <c r="F37" s="18">
        <f>IFERROR(C37-B37,NA())</f>
        <v/>
      </c>
      <c r="G37" s="24">
        <f>SUMIFS('일별데이터'!$E:$E,'일별데이터'!$B:$B,$G$1,'일별데이터'!$A:$A,$A37)</f>
        <v/>
      </c>
    </row>
    <row r="38">
      <c r="A38" s="23">
        <f>IFERROR(MAX('일별데이터'!$A:$A),TODAY())-4</f>
        <v/>
      </c>
      <c r="B38" s="18">
        <f>IFERROR(SUMIFS('일별데이터'!$I:$I,'일별데이터'!$B:$B,$G$1,'일별데이터'!$A:$A,$A38)/SUMIFS('일별데이터'!$E:$E,'일별데이터'!$B:$B,$G$1,'일별데이터'!$A:$A,$A38),NA())</f>
        <v/>
      </c>
      <c r="C38" s="18">
        <f>IFERROR(AVERAGEIFS('일별데이터'!$J:$J,'일별데이터'!$B:$B,$G$1,'일별데이터'!$A:$A,$A38)*'계산기'!$C$11,NA())</f>
        <v/>
      </c>
      <c r="D38" s="18">
        <f>IFERROR(AVERAGEIFS('일별데이터'!$N:$N,'일별데이터'!$B:$B,$G$1,'일별데이터'!$A:$A,$A38)*'계산기'!$C$11,NA())</f>
        <v/>
      </c>
      <c r="E38" s="18">
        <f>IFERROR(AVERAGEIFS('일별데이터'!$O:$O,'일별데이터'!$B:$B,$G$1,'일별데이터'!$A:$A,$A38)*'계산기'!$C$11*(1-IF('계산기'!$H$5&gt;0,INDEX('설정'!$G$4:$G$11,'계산기'!$H$5),0)/100),NA())</f>
        <v/>
      </c>
      <c r="F38" s="18">
        <f>IFERROR(C38-B38,NA())</f>
        <v/>
      </c>
      <c r="G38" s="24">
        <f>SUMIFS('일별데이터'!$E:$E,'일별데이터'!$B:$B,$G$1,'일별데이터'!$A:$A,$A38)</f>
        <v/>
      </c>
    </row>
    <row r="39">
      <c r="A39" s="23">
        <f>IFERROR(MAX('일별데이터'!$A:$A),TODAY())-3</f>
        <v/>
      </c>
      <c r="B39" s="18">
        <f>IFERROR(SUMIFS('일별데이터'!$I:$I,'일별데이터'!$B:$B,$G$1,'일별데이터'!$A:$A,$A39)/SUMIFS('일별데이터'!$E:$E,'일별데이터'!$B:$B,$G$1,'일별데이터'!$A:$A,$A39),NA())</f>
        <v/>
      </c>
      <c r="C39" s="18">
        <f>IFERROR(AVERAGEIFS('일별데이터'!$J:$J,'일별데이터'!$B:$B,$G$1,'일별데이터'!$A:$A,$A39)*'계산기'!$C$11,NA())</f>
        <v/>
      </c>
      <c r="D39" s="18">
        <f>IFERROR(AVERAGEIFS('일별데이터'!$N:$N,'일별데이터'!$B:$B,$G$1,'일별데이터'!$A:$A,$A39)*'계산기'!$C$11,NA())</f>
        <v/>
      </c>
      <c r="E39" s="18">
        <f>IFERROR(AVERAGEIFS('일별데이터'!$O:$O,'일별데이터'!$B:$B,$G$1,'일별데이터'!$A:$A,$A39)*'계산기'!$C$11*(1-IF('계산기'!$H$5&gt;0,INDEX('설정'!$G$4:$G$11,'계산기'!$H$5),0)/100),NA())</f>
        <v/>
      </c>
      <c r="F39" s="18">
        <f>IFERROR(C39-B39,NA())</f>
        <v/>
      </c>
      <c r="G39" s="24">
        <f>SUMIFS('일별데이터'!$E:$E,'일별데이터'!$B:$B,$G$1,'일별데이터'!$A:$A,$A39)</f>
        <v/>
      </c>
    </row>
    <row r="40">
      <c r="A40" s="23">
        <f>IFERROR(MAX('일별데이터'!$A:$A),TODAY())-2</f>
        <v/>
      </c>
      <c r="B40" s="18">
        <f>IFERROR(SUMIFS('일별데이터'!$I:$I,'일별데이터'!$B:$B,$G$1,'일별데이터'!$A:$A,$A40)/SUMIFS('일별데이터'!$E:$E,'일별데이터'!$B:$B,$G$1,'일별데이터'!$A:$A,$A40),NA())</f>
        <v/>
      </c>
      <c r="C40" s="18">
        <f>IFERROR(AVERAGEIFS('일별데이터'!$J:$J,'일별데이터'!$B:$B,$G$1,'일별데이터'!$A:$A,$A40)*'계산기'!$C$11,NA())</f>
        <v/>
      </c>
      <c r="D40" s="18">
        <f>IFERROR(AVERAGEIFS('일별데이터'!$N:$N,'일별데이터'!$B:$B,$G$1,'일별데이터'!$A:$A,$A40)*'계산기'!$C$11,NA())</f>
        <v/>
      </c>
      <c r="E40" s="18">
        <f>IFERROR(AVERAGEIFS('일별데이터'!$O:$O,'일별데이터'!$B:$B,$G$1,'일별데이터'!$A:$A,$A40)*'계산기'!$C$11*(1-IF('계산기'!$H$5&gt;0,INDEX('설정'!$G$4:$G$11,'계산기'!$H$5),0)/100),NA())</f>
        <v/>
      </c>
      <c r="F40" s="18">
        <f>IFERROR(C40-B40,NA())</f>
        <v/>
      </c>
      <c r="G40" s="24">
        <f>SUMIFS('일별데이터'!$E:$E,'일별데이터'!$B:$B,$G$1,'일별데이터'!$A:$A,$A40)</f>
        <v/>
      </c>
    </row>
    <row r="41">
      <c r="A41" s="23">
        <f>IFERROR(MAX('일별데이터'!$A:$A),TODAY())-1</f>
        <v/>
      </c>
      <c r="B41" s="18">
        <f>IFERROR(SUMIFS('일별데이터'!$I:$I,'일별데이터'!$B:$B,$G$1,'일별데이터'!$A:$A,$A41)/SUMIFS('일별데이터'!$E:$E,'일별데이터'!$B:$B,$G$1,'일별데이터'!$A:$A,$A41),NA())</f>
        <v/>
      </c>
      <c r="C41" s="18">
        <f>IFERROR(AVERAGEIFS('일별데이터'!$J:$J,'일별데이터'!$B:$B,$G$1,'일별데이터'!$A:$A,$A41)*'계산기'!$C$11,NA())</f>
        <v/>
      </c>
      <c r="D41" s="18">
        <f>IFERROR(AVERAGEIFS('일별데이터'!$N:$N,'일별데이터'!$B:$B,$G$1,'일별데이터'!$A:$A,$A41)*'계산기'!$C$11,NA())</f>
        <v/>
      </c>
      <c r="E41" s="18">
        <f>IFERROR(AVERAGEIFS('일별데이터'!$O:$O,'일별데이터'!$B:$B,$G$1,'일별데이터'!$A:$A,$A41)*'계산기'!$C$11*(1-IF('계산기'!$H$5&gt;0,INDEX('설정'!$G$4:$G$11,'계산기'!$H$5),0)/100),NA())</f>
        <v/>
      </c>
      <c r="F41" s="18">
        <f>IFERROR(C41-B41,NA())</f>
        <v/>
      </c>
      <c r="G41" s="24">
        <f>SUMIFS('일별데이터'!$E:$E,'일별데이터'!$B:$B,$G$1,'일별데이터'!$A:$A,$A41)</f>
        <v/>
      </c>
    </row>
    <row r="42">
      <c r="A42" s="23">
        <f>IFERROR(MAX('일별데이터'!$A:$A),TODAY())-0</f>
        <v/>
      </c>
      <c r="B42" s="18">
        <f>IFERROR(SUMIFS('일별데이터'!$I:$I,'일별데이터'!$B:$B,$G$1,'일별데이터'!$A:$A,$A42)/SUMIFS('일별데이터'!$E:$E,'일별데이터'!$B:$B,$G$1,'일별데이터'!$A:$A,$A42),NA())</f>
        <v/>
      </c>
      <c r="C42" s="18">
        <f>IFERROR(AVERAGEIFS('일별데이터'!$J:$J,'일별데이터'!$B:$B,$G$1,'일별데이터'!$A:$A,$A42)*'계산기'!$C$11,NA())</f>
        <v/>
      </c>
      <c r="D42" s="18">
        <f>IFERROR(AVERAGEIFS('일별데이터'!$N:$N,'일별데이터'!$B:$B,$G$1,'일별데이터'!$A:$A,$A42)*'계산기'!$C$11,NA())</f>
        <v/>
      </c>
      <c r="E42" s="18">
        <f>IFERROR(AVERAGEIFS('일별데이터'!$O:$O,'일별데이터'!$B:$B,$G$1,'일별데이터'!$A:$A,$A42)*'계산기'!$C$11*(1-IF('계산기'!$H$5&gt;0,INDEX('설정'!$G$4:$G$11,'계산기'!$H$5),0)/100),NA())</f>
        <v/>
      </c>
      <c r="F42" s="18">
        <f>IFERROR(C42-B42,NA())</f>
        <v/>
      </c>
      <c r="G42" s="24">
        <f>SUMIFS('일별데이터'!$E:$E,'일별데이터'!$B:$B,$G$1,'일별데이터'!$A:$A,$A42)</f>
        <v/>
      </c>
    </row>
    <row r="44">
      <c r="A44" t="inlineStr">
        <is>
          <t>빈 칸(#N/A)은 그날 자료가 없다는 뜻입니다 — 그래프에서는 건너뜁니다.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C943"/>
    <outlinePr summaryBelow="1" summaryRight="1"/>
    <pageSetUpPr/>
  </sheetPr>
  <dimension ref="A1:I25"/>
  <sheetViews>
    <sheetView zoomScale="10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5" customWidth="1" min="5" max="5"/>
    <col width="16" customWidth="1" min="6" max="6"/>
    <col width="14" customWidth="1" min="7" max="7"/>
    <col width="14" customWidth="1" min="8" max="8"/>
    <col width="12" customWidth="1" min="9" max="9"/>
  </cols>
  <sheetData>
    <row r="1">
      <c r="A1" s="1" t="inlineStr">
        <is>
          <t>마진 계산 설정 — 판매 채널별 비용·상한 기준</t>
        </is>
      </c>
    </row>
    <row r="2">
      <c r="A2" t="inlineStr">
        <is>
          <t>노란 칸을 고치면 계산기·품목요약·그래프가 다시 계산됩니다. (앱 화면의 설정은 서버에 저장되고, 이 파일을 고쳐도 서버에는 반영되지 않습니다)</t>
        </is>
      </c>
    </row>
    <row r="3" ht="32" customHeight="1">
      <c r="A3" s="20" t="inlineStr">
        <is>
          <t>채널</t>
        </is>
      </c>
      <c r="B3" s="20" t="inlineStr">
        <is>
          <t>수수료율(%)</t>
        </is>
      </c>
      <c r="C3" s="20" t="inlineStr">
        <is>
          <t>택배비(원/박스)</t>
        </is>
      </c>
      <c r="D3" s="20" t="inlineStr">
        <is>
          <t>포장비(원/박스)</t>
        </is>
      </c>
      <c r="E3" s="20" t="inlineStr">
        <is>
          <t>기타 비용(원/박스)</t>
        </is>
      </c>
      <c r="F3" s="20" t="inlineStr">
        <is>
          <t>상한 기준(소매|가락)</t>
        </is>
      </c>
      <c r="G3" s="20" t="inlineStr">
        <is>
          <t>소매 대비 할인(%)</t>
        </is>
      </c>
      <c r="H3" s="20" t="inlineStr">
        <is>
          <t>가락 대비 가산(%)</t>
        </is>
      </c>
      <c r="I3" s="20" t="inlineStr">
        <is>
          <t>최소 마진(%)</t>
        </is>
      </c>
    </row>
    <row r="4">
      <c r="A4" s="4" t="n"/>
      <c r="B4" s="4" t="n"/>
      <c r="C4" s="7" t="n"/>
      <c r="D4" s="7" t="n"/>
      <c r="E4" s="7" t="n"/>
      <c r="F4" s="4" t="n"/>
      <c r="G4" s="4" t="n"/>
      <c r="H4" s="4" t="n"/>
      <c r="I4" s="4" t="n"/>
    </row>
    <row r="5">
      <c r="A5" s="4" t="n"/>
      <c r="B5" s="4" t="n"/>
      <c r="C5" s="7" t="n"/>
      <c r="D5" s="7" t="n"/>
      <c r="E5" s="7" t="n"/>
      <c r="F5" s="4" t="n"/>
      <c r="G5" s="4" t="n"/>
      <c r="H5" s="4" t="n"/>
      <c r="I5" s="4" t="n"/>
    </row>
    <row r="6">
      <c r="A6" s="4" t="n"/>
      <c r="B6" s="4" t="n"/>
      <c r="C6" s="7" t="n"/>
      <c r="D6" s="7" t="n"/>
      <c r="E6" s="7" t="n"/>
      <c r="F6" s="4" t="n"/>
      <c r="G6" s="4" t="n"/>
      <c r="H6" s="4" t="n"/>
      <c r="I6" s="4" t="n"/>
    </row>
    <row r="7">
      <c r="A7" s="4" t="n"/>
      <c r="B7" s="4" t="n"/>
      <c r="C7" s="7" t="n"/>
      <c r="D7" s="7" t="n"/>
      <c r="E7" s="7" t="n"/>
      <c r="F7" s="4" t="n"/>
      <c r="G7" s="4" t="n"/>
      <c r="H7" s="4" t="n"/>
      <c r="I7" s="4" t="n"/>
    </row>
    <row r="8">
      <c r="A8" s="4" t="n"/>
      <c r="B8" s="4" t="n"/>
      <c r="C8" s="7" t="n"/>
      <c r="D8" s="7" t="n"/>
      <c r="E8" s="7" t="n"/>
      <c r="F8" s="4" t="n"/>
      <c r="G8" s="4" t="n"/>
      <c r="H8" s="4" t="n"/>
      <c r="I8" s="4" t="n"/>
    </row>
    <row r="9">
      <c r="A9" s="4" t="n"/>
      <c r="B9" s="4" t="n"/>
      <c r="C9" s="7" t="n"/>
      <c r="D9" s="7" t="n"/>
      <c r="E9" s="7" t="n"/>
      <c r="F9" s="4" t="n"/>
      <c r="G9" s="4" t="n"/>
      <c r="H9" s="4" t="n"/>
      <c r="I9" s="4" t="n"/>
    </row>
    <row r="10">
      <c r="A10" s="4" t="n"/>
      <c r="B10" s="4" t="n"/>
      <c r="C10" s="7" t="n"/>
      <c r="D10" s="7" t="n"/>
      <c r="E10" s="7" t="n"/>
      <c r="F10" s="4" t="n"/>
      <c r="G10" s="4" t="n"/>
      <c r="H10" s="4" t="n"/>
      <c r="I10" s="4" t="n"/>
    </row>
    <row r="11">
      <c r="A11" s="4" t="n"/>
      <c r="B11" s="4" t="n"/>
      <c r="C11" s="7" t="n"/>
      <c r="D11" s="7" t="n"/>
      <c r="E11" s="7" t="n"/>
      <c r="F11" s="4" t="n"/>
      <c r="G11" s="4" t="n"/>
      <c r="H11" s="4" t="n"/>
      <c r="I11" s="4" t="n"/>
    </row>
    <row r="13">
      <c r="A13" s="3" t="inlineStr">
        <is>
          <t>원가 기준</t>
        </is>
      </c>
      <c r="C13" s="4" t="n"/>
      <c r="D13" t="inlineStr">
        <is>
          <t>최근 = 최근 경매일 가중평균 · 7일평균 = 최근 7일 가중평균 · 7일최고 = 최근 7일 중 가장 비싼 날</t>
        </is>
      </c>
    </row>
    <row r="15">
      <c r="A15" s="3" t="inlineStr">
        <is>
          <t>자료 기간</t>
        </is>
      </c>
      <c r="B15" t="inlineStr">
        <is>
          <t>-</t>
        </is>
      </c>
    </row>
    <row r="16">
      <c r="A16" s="3" t="inlineStr">
        <is>
          <t>만든 시각</t>
        </is>
      </c>
      <c r="B16" t="inlineStr">
        <is>
          <t>-</t>
        </is>
      </c>
    </row>
    <row r="17">
      <c r="A17" s="3" t="inlineStr">
        <is>
          <t>시세 자료</t>
        </is>
      </c>
      <c r="B17" t="inlineStr">
        <is>
          <t>-</t>
        </is>
      </c>
    </row>
    <row r="19">
      <c r="A19" s="3" t="inlineStr">
        <is>
          <t>계산식</t>
        </is>
      </c>
    </row>
    <row r="20">
      <c r="A20" t="inlineStr">
        <is>
          <t>원가 C = 원가 기준에 따른 서원 낙찰 단가(박스당)</t>
        </is>
      </c>
    </row>
    <row r="21">
      <c r="A21" t="inlineStr">
        <is>
          <t>부대비 F = 택배비 + 포장비 + 기타 비용,  수수료율 r</t>
        </is>
      </c>
    </row>
    <row r="22">
      <c r="A22" t="inlineStr">
        <is>
          <t>손익분기가 = (C + F) ÷ (1 − r)</t>
        </is>
      </c>
    </row>
    <row r="23">
      <c r="A23" t="inlineStr">
        <is>
          <t>최소 마진가 = 손익분기가 × (1 + 최소 마진%)</t>
        </is>
      </c>
    </row>
    <row r="24">
      <c r="A24" t="inlineStr">
        <is>
          <t>상한가 = 소매 기준: 지역 소매 kg당 가운데값 × 박스kg × (1 − 소매 대비 할인%)  /  가락 기준: 가락시장 7일 kg당 평균 × 박스kg × (1 + 가락 대비 가산%)  (자료가 없으면 다른 기준으로 대신)</t>
        </is>
      </c>
    </row>
    <row r="25">
      <c r="A25" t="inlineStr">
        <is>
          <t>최대 마진 = 상한가 × (1 − r) − C − F,   마진율 = 최대 마진 ÷ 상한가,   권장가 = (최소 마진가 + 상한가) ÷ 2</t>
        </is>
      </c>
    </row>
  </sheetData>
  <dataValidations count="2">
    <dataValidation sqref="C13" showDropDown="0" showInputMessage="0" showErrorMessage="0" allowBlank="0" type="list">
      <formula1>"최근,7일평균,7일최고"</formula1>
    </dataValidation>
    <dataValidation sqref="F4:F11" showDropDown="0" showInputMessage="0" showErrorMessage="0" allowBlank="1" type="list">
      <formula1>"소매,가락"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"/>
  <sheetViews>
    <sheetView zoomScale="10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2" customWidth="1" min="2" max="2"/>
    <col width="7" customWidth="1" min="3" max="3"/>
    <col width="7" customWidth="1" min="4" max="4"/>
    <col width="10" customWidth="1" min="5" max="5"/>
    <col width="12" customWidth="1" min="6" max="6"/>
    <col width="11" customWidth="1" min="7" max="7"/>
    <col width="11" customWidth="1" min="8" max="8"/>
    <col width="13" customWidth="1" min="9" max="9"/>
    <col width="11" customWidth="1" min="10" max="10"/>
    <col width="11" customWidth="1" min="11" max="11"/>
    <col width="11" customWidth="1" min="12" max="12"/>
    <col width="10" customWidth="1" min="13" max="13"/>
    <col width="11" customWidth="1" min="14" max="14"/>
    <col width="11" customWidth="1" min="15" max="15"/>
    <col width="12" customWidth="1" min="16" max="16"/>
    <col width="13" customWidth="1" min="17" max="17"/>
    <col width="10" customWidth="1" min="18" max="18"/>
  </cols>
  <sheetData>
    <row r="1" ht="32" customHeight="1">
      <c r="A1" s="20" t="inlineStr">
        <is>
          <t>날짜</t>
        </is>
      </c>
      <c r="B1" s="20" t="inlineStr">
        <is>
          <t>품목</t>
        </is>
      </c>
      <c r="C1" s="20" t="inlineStr">
        <is>
          <t>등급</t>
        </is>
      </c>
      <c r="D1" s="20" t="inlineStr">
        <is>
          <t>박스kg</t>
        </is>
      </c>
      <c r="E1" s="20" t="inlineStr">
        <is>
          <t>서원 낙찰 수량</t>
        </is>
      </c>
      <c r="F1" s="20" t="inlineStr">
        <is>
          <t>서원 평균 단가(박스)</t>
        </is>
      </c>
      <c r="G1" s="20" t="inlineStr">
        <is>
          <t>서원 최저 단가</t>
        </is>
      </c>
      <c r="H1" s="20" t="inlineStr">
        <is>
          <t>서원 최고 단가</t>
        </is>
      </c>
      <c r="I1" s="20" t="inlineStr">
        <is>
          <t>서원 낙찰 금액</t>
        </is>
      </c>
      <c r="J1" s="20" t="inlineStr">
        <is>
          <t>가락 kg당 평균</t>
        </is>
      </c>
      <c r="K1" s="20" t="inlineStr">
        <is>
          <t>가락 kg당 최저</t>
        </is>
      </c>
      <c r="L1" s="20" t="inlineStr">
        <is>
          <t>가락 kg당 최고</t>
        </is>
      </c>
      <c r="M1" s="20" t="inlineStr">
        <is>
          <t>가락 거래량</t>
        </is>
      </c>
      <c r="N1" s="20" t="inlineStr">
        <is>
          <t>전국 kg당 평균</t>
        </is>
      </c>
      <c r="O1" s="20" t="inlineStr">
        <is>
          <t>소매 kg당(가운데)</t>
        </is>
      </c>
      <c r="P1" s="20" t="inlineStr">
        <is>
          <t>가락 박스 환산</t>
        </is>
      </c>
      <c r="Q1" s="20" t="inlineStr">
        <is>
          <t>가락보다 싸게 산 금액</t>
        </is>
      </c>
      <c r="R1" s="20" t="inlineStr">
        <is>
          <t>가락 시세 출처</t>
        </is>
      </c>
    </row>
    <row r="2">
      <c r="A2" s="23" t="n"/>
      <c r="B2" s="21" t="n"/>
      <c r="C2" s="21" t="n"/>
      <c r="D2" s="22" t="n"/>
      <c r="E2" s="24" t="n"/>
      <c r="F2" s="18" t="n"/>
      <c r="G2" s="18" t="n"/>
      <c r="H2" s="18" t="n"/>
      <c r="I2" s="18" t="n"/>
      <c r="J2" s="18" t="n"/>
      <c r="K2" s="18" t="n"/>
      <c r="L2" s="18" t="n"/>
      <c r="M2" s="24" t="n"/>
      <c r="N2" s="18" t="n"/>
      <c r="O2" s="18" t="n"/>
      <c r="P2" s="18" t="n"/>
      <c r="Q2" s="18" t="n"/>
      <c r="R2" s="21" t="n"/>
    </row>
  </sheetData>
  <autoFilter ref="A1:R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7" customWidth="1" min="3" max="3"/>
    <col width="16" customWidth="1" min="4" max="4"/>
    <col width="16" customWidth="1" min="5" max="5"/>
    <col width="14" customWidth="1" min="6" max="6"/>
    <col width="8" customWidth="1" min="7" max="7"/>
    <col width="7" customWidth="1" min="8" max="8"/>
    <col width="7" customWidth="1" min="9" max="9"/>
    <col width="7" customWidth="1" min="10" max="10"/>
    <col width="11" customWidth="1" min="11" max="11"/>
    <col width="13" customWidth="1" min="12" max="12"/>
  </cols>
  <sheetData>
    <row r="1" ht="32" customHeight="1">
      <c r="A1" s="20" t="inlineStr">
        <is>
          <t>경매일</t>
        </is>
      </c>
      <c r="B1" s="20" t="inlineStr">
        <is>
          <t>시장</t>
        </is>
      </c>
      <c r="C1" s="20" t="inlineStr">
        <is>
          <t>번호</t>
        </is>
      </c>
      <c r="D1" s="20" t="inlineStr">
        <is>
          <t>품목(사이트)</t>
        </is>
      </c>
      <c r="E1" s="20" t="inlineStr">
        <is>
          <t>품목(정리)</t>
        </is>
      </c>
      <c r="F1" s="20" t="inlineStr">
        <is>
          <t>생산자</t>
        </is>
      </c>
      <c r="G1" s="20" t="inlineStr">
        <is>
          <t>규격</t>
        </is>
      </c>
      <c r="H1" s="20" t="inlineStr">
        <is>
          <t>등급</t>
        </is>
      </c>
      <c r="I1" s="20" t="inlineStr">
        <is>
          <t>박스kg</t>
        </is>
      </c>
      <c r="J1" s="20" t="inlineStr">
        <is>
          <t>수량</t>
        </is>
      </c>
      <c r="K1" s="20" t="inlineStr">
        <is>
          <t>단가</t>
        </is>
      </c>
      <c r="L1" s="20" t="inlineStr">
        <is>
          <t>금액</t>
        </is>
      </c>
    </row>
    <row r="2">
      <c r="A2" s="23" t="n"/>
      <c r="B2" s="21" t="n"/>
      <c r="C2" s="21" t="n"/>
      <c r="D2" s="21" t="n"/>
      <c r="E2" s="21" t="n"/>
      <c r="F2" s="21" t="n"/>
      <c r="G2" s="21" t="n"/>
      <c r="H2" s="21" t="n"/>
      <c r="I2" s="22" t="n"/>
      <c r="J2" s="24" t="n"/>
      <c r="K2" s="18" t="n"/>
      <c r="L2" s="18" t="n"/>
    </row>
  </sheetData>
  <autoFilter ref="A1:L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"/>
  <sheetViews>
    <sheetView zoomScale="10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2" customWidth="1" min="2" max="2"/>
    <col width="8" customWidth="1" min="3" max="3"/>
    <col width="20" customWidth="1" min="4" max="4"/>
    <col width="11" customWidth="1" min="5" max="5"/>
    <col width="11" customWidth="1" min="6" max="6"/>
    <col width="10" customWidth="1" min="7" max="7"/>
    <col width="10" customWidth="1" min="8" max="8"/>
    <col width="14" customWidth="1" min="9" max="9"/>
    <col width="12" customWidth="1" min="10" max="10"/>
    <col width="11" customWidth="1" min="11" max="11"/>
    <col width="11" customWidth="1" min="12" max="12"/>
    <col width="12" customWidth="1" min="13" max="13"/>
  </cols>
  <sheetData>
    <row r="1" ht="32" customHeight="1">
      <c r="A1" s="20" t="inlineStr">
        <is>
          <t>품목</t>
        </is>
      </c>
      <c r="B1" s="20" t="inlineStr">
        <is>
          <t>품목군</t>
        </is>
      </c>
      <c r="C1" s="20" t="inlineStr">
        <is>
          <t>등급</t>
        </is>
      </c>
      <c r="D1" s="20" t="inlineStr">
        <is>
          <t>박스kg (수량)</t>
        </is>
      </c>
      <c r="E1" s="20" t="inlineStr">
        <is>
          <t>처음 낙찰</t>
        </is>
      </c>
      <c r="F1" s="20" t="inlineStr">
        <is>
          <t>마지막 낙찰</t>
        </is>
      </c>
      <c r="G1" s="20" t="inlineStr">
        <is>
          <t>낙찰한 날 수</t>
        </is>
      </c>
      <c r="H1" s="20" t="inlineStr">
        <is>
          <t>총 수량</t>
        </is>
      </c>
      <c r="I1" s="20" t="inlineStr">
        <is>
          <t>총 금액</t>
        </is>
      </c>
      <c r="J1" s="20" t="inlineStr">
        <is>
          <t>평균 단가(박스)</t>
        </is>
      </c>
      <c r="K1" s="20" t="inlineStr">
        <is>
          <t>서울청과 수량</t>
        </is>
      </c>
      <c r="L1" s="20" t="inlineStr">
        <is>
          <t>동화청과 수량</t>
        </is>
      </c>
      <c r="M1" s="20" t="inlineStr">
        <is>
          <t>가락 시세 모음</t>
        </is>
      </c>
    </row>
    <row r="2">
      <c r="A2" s="21" t="n"/>
      <c r="B2" s="21" t="n"/>
      <c r="C2" s="21" t="n"/>
      <c r="D2" s="21" t="n"/>
      <c r="E2" s="23" t="n"/>
      <c r="F2" s="23" t="n"/>
      <c r="G2" s="24" t="n"/>
      <c r="H2" s="24" t="n"/>
      <c r="I2" s="18" t="n"/>
      <c r="J2" s="18" t="n"/>
      <c r="K2" s="24" t="n"/>
      <c r="L2" s="24" t="n"/>
      <c r="M2" s="21" t="n"/>
    </row>
  </sheetData>
  <autoFilter ref="A1:M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2026-10-26T19:36:29Z</dcterms:created>
  <dcterms:modified xmlns:dcterms="http://purl.org/dc/terms/" xmlns:xsi="http://www.w3.org/2001/XMLSchema-instance" xsi:type="dcterms:W3CDTF">2026-10-26T19:36:29Z</dcterms:modified>
</cp:coreProperties>
</file>